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ownloads\"/>
    </mc:Choice>
  </mc:AlternateContent>
  <xr:revisionPtr revIDLastSave="0" documentId="8_{E86DBB13-1BAE-4DDD-93FC-C55338E48B2F}" xr6:coauthVersionLast="36" xr6:coauthVersionMax="36" xr10:uidLastSave="{00000000-0000-0000-0000-000000000000}"/>
  <bookViews>
    <workbookView xWindow="0" yWindow="0" windowWidth="13200" windowHeight="5556" tabRatio="687" xr2:uid="{00000000-000D-0000-FFFF-FFFF00000000}"/>
  </bookViews>
  <sheets>
    <sheet name="+2 курс 1 сем СО" sheetId="1" r:id="rId1"/>
    <sheet name="+2 курс 2 сем СО" sheetId="2" r:id="rId2"/>
    <sheet name="+2 курс 1 сем ТиПО" sheetId="10" r:id="rId3"/>
    <sheet name="+2 курс 2 сем ТиПО" sheetId="11" r:id="rId4"/>
    <sheet name="+3 курс 1 сем СО" sheetId="16" r:id="rId5"/>
    <sheet name="+3 курс 2 сем СО" sheetId="17" r:id="rId6"/>
    <sheet name="+3 курс 1 сем ТИПО" sheetId="21" r:id="rId7"/>
    <sheet name="+4 курс 1 сем СО" sheetId="18" r:id="rId8"/>
    <sheet name="+1 курс 2 сем зима МАГ--&gt;" sheetId="13" r:id="rId9"/>
    <sheet name="+2 курс 1 сем зима МАГ" sheetId="23" r:id="rId10"/>
    <sheet name="+2 курс 1 сем лето МАГ" sheetId="12" r:id="rId11"/>
  </sheets>
  <definedNames>
    <definedName name="_xlnm._FilterDatabase" localSheetId="8" hidden="1">'+1 курс 2 сем зима МАГ--&gt;'!$A$4:$V$22</definedName>
    <definedName name="_xlnm._FilterDatabase" localSheetId="9" hidden="1">'+2 курс 1 сем зима МАГ'!$A$4:$V$29</definedName>
    <definedName name="_xlnm._FilterDatabase" localSheetId="10" hidden="1">'+2 курс 1 сем лето МАГ'!$A$4:$V$44</definedName>
    <definedName name="_xlnm._FilterDatabase" localSheetId="0" hidden="1">'+2 курс 1 сем СО'!$A$4:$W$114</definedName>
    <definedName name="_xlnm._FilterDatabase" localSheetId="2" hidden="1">'+2 курс 1 сем ТиПО'!$A$4:$V$48</definedName>
    <definedName name="_xlnm._FilterDatabase" localSheetId="1" hidden="1">'+2 курс 2 сем СО'!$A$4:$W$100</definedName>
    <definedName name="_xlnm._FilterDatabase" localSheetId="3" hidden="1">'+2 курс 2 сем ТиПО'!$A$4:$V$43</definedName>
    <definedName name="_xlnm._FilterDatabase" localSheetId="4" hidden="1">'+3 курс 1 сем СО'!$A$4:$V$178</definedName>
    <definedName name="_xlnm._FilterDatabase" localSheetId="6" hidden="1">'+3 курс 1 сем ТИПО'!$A$4:$V$50</definedName>
    <definedName name="_xlnm._FilterDatabase" localSheetId="5" hidden="1">'+3 курс 2 сем СО'!$A$4:$V$164</definedName>
    <definedName name="_xlnm._FilterDatabase" localSheetId="7" hidden="1">'+4 курс 1 сем СО'!$A$4:$V$170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1" i="2" l="1"/>
  <c r="W85" i="18"/>
  <c r="W94" i="17"/>
  <c r="X61" i="2"/>
  <c r="W110" i="16"/>
  <c r="X115" i="1"/>
  <c r="U17" i="10" l="1"/>
  <c r="U18" i="10"/>
  <c r="U19" i="10"/>
  <c r="T18" i="10"/>
  <c r="T19" i="10"/>
  <c r="R45" i="12"/>
  <c r="P45" i="12"/>
  <c r="S45" i="12" s="1"/>
  <c r="M45" i="12"/>
  <c r="T45" i="12" s="1"/>
  <c r="K45" i="12"/>
  <c r="N45" i="12" s="1"/>
  <c r="U45" i="12" s="1"/>
  <c r="R30" i="23"/>
  <c r="P30" i="23"/>
  <c r="S30" i="23" s="1"/>
  <c r="M30" i="23"/>
  <c r="T30" i="23" s="1"/>
  <c r="K30" i="23"/>
  <c r="N30" i="23" s="1"/>
  <c r="U30" i="23" s="1"/>
  <c r="R71" i="16"/>
  <c r="P71" i="16"/>
  <c r="S71" i="16" s="1"/>
  <c r="M71" i="16"/>
  <c r="K71" i="16"/>
  <c r="N71" i="16" s="1"/>
  <c r="U71" i="16" s="1"/>
  <c r="R70" i="16"/>
  <c r="P70" i="16"/>
  <c r="S70" i="16" s="1"/>
  <c r="M70" i="16"/>
  <c r="T70" i="16" s="1"/>
  <c r="K70" i="16"/>
  <c r="N70" i="16" s="1"/>
  <c r="U70" i="16" s="1"/>
  <c r="S37" i="1"/>
  <c r="Q37" i="1"/>
  <c r="T37" i="1" s="1"/>
  <c r="N37" i="1"/>
  <c r="L37" i="1"/>
  <c r="O37" i="1" s="1"/>
  <c r="S36" i="1"/>
  <c r="Q36" i="1"/>
  <c r="T36" i="1" s="1"/>
  <c r="N36" i="1"/>
  <c r="U36" i="1" s="1"/>
  <c r="L36" i="1"/>
  <c r="O36" i="1" s="1"/>
  <c r="S35" i="1"/>
  <c r="Q35" i="1"/>
  <c r="T35" i="1" s="1"/>
  <c r="N35" i="1"/>
  <c r="L35" i="1"/>
  <c r="O35" i="1" s="1"/>
  <c r="S34" i="1"/>
  <c r="Q34" i="1"/>
  <c r="T34" i="1" s="1"/>
  <c r="N34" i="1"/>
  <c r="L34" i="1"/>
  <c r="O34" i="1" s="1"/>
  <c r="D32" i="1"/>
  <c r="S12" i="2"/>
  <c r="Q12" i="2"/>
  <c r="T12" i="2" s="1"/>
  <c r="N12" i="2"/>
  <c r="U12" i="2" s="1"/>
  <c r="L12" i="2"/>
  <c r="O12" i="2" s="1"/>
  <c r="S11" i="2"/>
  <c r="Q11" i="2"/>
  <c r="T11" i="2" s="1"/>
  <c r="N11" i="2"/>
  <c r="U11" i="2" s="1"/>
  <c r="L11" i="2"/>
  <c r="O11" i="2" s="1"/>
  <c r="V11" i="2" s="1"/>
  <c r="S10" i="2"/>
  <c r="Q10" i="2"/>
  <c r="T10" i="2" s="1"/>
  <c r="N10" i="2"/>
  <c r="U10" i="2" s="1"/>
  <c r="L10" i="2"/>
  <c r="O10" i="2" s="1"/>
  <c r="V10" i="2" s="1"/>
  <c r="S9" i="2"/>
  <c r="Q9" i="2"/>
  <c r="T9" i="2" s="1"/>
  <c r="N9" i="2"/>
  <c r="U9" i="2" s="1"/>
  <c r="L9" i="2"/>
  <c r="O9" i="2" s="1"/>
  <c r="S8" i="2"/>
  <c r="Q8" i="2"/>
  <c r="T8" i="2" s="1"/>
  <c r="N8" i="2"/>
  <c r="U8" i="2" s="1"/>
  <c r="L8" i="2"/>
  <c r="O8" i="2" s="1"/>
  <c r="V8" i="2" s="1"/>
  <c r="S7" i="2"/>
  <c r="Q7" i="2"/>
  <c r="T7" i="2" s="1"/>
  <c r="N7" i="2"/>
  <c r="U7" i="2" s="1"/>
  <c r="L7" i="2"/>
  <c r="O7" i="2" s="1"/>
  <c r="V7" i="2" s="1"/>
  <c r="S6" i="2"/>
  <c r="Q6" i="2"/>
  <c r="T6" i="2" s="1"/>
  <c r="N6" i="2"/>
  <c r="U6" i="2" s="1"/>
  <c r="L6" i="2"/>
  <c r="O6" i="2" s="1"/>
  <c r="S5" i="2"/>
  <c r="Q5" i="2"/>
  <c r="T5" i="2" s="1"/>
  <c r="N5" i="2"/>
  <c r="U5" i="2" s="1"/>
  <c r="L5" i="2"/>
  <c r="O5" i="2" s="1"/>
  <c r="V5" i="2" s="1"/>
  <c r="S12" i="1"/>
  <c r="Q12" i="1"/>
  <c r="T12" i="1" s="1"/>
  <c r="N12" i="1"/>
  <c r="L12" i="1"/>
  <c r="O12" i="1" s="1"/>
  <c r="S11" i="1"/>
  <c r="Q11" i="1"/>
  <c r="T11" i="1" s="1"/>
  <c r="N11" i="1"/>
  <c r="L11" i="1"/>
  <c r="O11" i="1" s="1"/>
  <c r="S10" i="1"/>
  <c r="Q10" i="1"/>
  <c r="T10" i="1" s="1"/>
  <c r="N10" i="1"/>
  <c r="L10" i="1"/>
  <c r="O10" i="1" s="1"/>
  <c r="L13" i="1"/>
  <c r="O13" i="1" s="1"/>
  <c r="N13" i="1"/>
  <c r="Q13" i="1"/>
  <c r="T13" i="1" s="1"/>
  <c r="S13" i="1"/>
  <c r="L14" i="1"/>
  <c r="O14" i="1" s="1"/>
  <c r="N14" i="1"/>
  <c r="Q14" i="1"/>
  <c r="T14" i="1" s="1"/>
  <c r="S14" i="1"/>
  <c r="L15" i="1"/>
  <c r="O15" i="1" s="1"/>
  <c r="N15" i="1"/>
  <c r="Q15" i="1"/>
  <c r="T15" i="1" s="1"/>
  <c r="S15" i="1"/>
  <c r="T71" i="16" l="1"/>
  <c r="U34" i="1"/>
  <c r="U37" i="1"/>
  <c r="V6" i="2"/>
  <c r="V9" i="2"/>
  <c r="V12" i="2"/>
  <c r="U11" i="1"/>
  <c r="U12" i="1"/>
  <c r="V37" i="1"/>
  <c r="V34" i="1"/>
  <c r="V35" i="1"/>
  <c r="U15" i="1"/>
  <c r="U35" i="1"/>
  <c r="V36" i="1"/>
  <c r="U14" i="1"/>
  <c r="V15" i="1"/>
  <c r="V14" i="1"/>
  <c r="V12" i="1"/>
  <c r="U13" i="1"/>
  <c r="V10" i="1"/>
  <c r="U10" i="1"/>
  <c r="V11" i="1"/>
  <c r="V13" i="1"/>
  <c r="K145" i="18"/>
  <c r="R6" i="10"/>
  <c r="R7" i="10"/>
  <c r="P7" i="10"/>
  <c r="S7" i="10" s="1"/>
  <c r="M7" i="10"/>
  <c r="T7" i="10" s="1"/>
  <c r="K7" i="10"/>
  <c r="N7" i="10" s="1"/>
  <c r="U7" i="10" s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5" i="12"/>
  <c r="M6" i="12"/>
  <c r="T6" i="12" s="1"/>
  <c r="M7" i="12"/>
  <c r="T7" i="12" s="1"/>
  <c r="M8" i="12"/>
  <c r="T8" i="12" s="1"/>
  <c r="M9" i="12"/>
  <c r="T9" i="12" s="1"/>
  <c r="M10" i="12"/>
  <c r="T10" i="12" s="1"/>
  <c r="M11" i="12"/>
  <c r="M12" i="12"/>
  <c r="M13" i="12"/>
  <c r="M14" i="12"/>
  <c r="M15" i="12"/>
  <c r="M16" i="12"/>
  <c r="M17" i="12"/>
  <c r="M18" i="12"/>
  <c r="M19" i="12"/>
  <c r="T19" i="12" s="1"/>
  <c r="M20" i="12"/>
  <c r="T20" i="12" s="1"/>
  <c r="M21" i="12"/>
  <c r="T21" i="12" s="1"/>
  <c r="M22" i="12"/>
  <c r="T22" i="12" s="1"/>
  <c r="M23" i="12"/>
  <c r="M24" i="12"/>
  <c r="M25" i="12"/>
  <c r="M26" i="12"/>
  <c r="M27" i="12"/>
  <c r="M28" i="12"/>
  <c r="M29" i="12"/>
  <c r="M30" i="12"/>
  <c r="M31" i="12"/>
  <c r="T31" i="12" s="1"/>
  <c r="M32" i="12"/>
  <c r="T32" i="12" s="1"/>
  <c r="M33" i="12"/>
  <c r="T33" i="12" s="1"/>
  <c r="M34" i="12"/>
  <c r="T34" i="12" s="1"/>
  <c r="M35" i="12"/>
  <c r="M36" i="12"/>
  <c r="M37" i="12"/>
  <c r="M38" i="12"/>
  <c r="M39" i="12"/>
  <c r="M40" i="12"/>
  <c r="M41" i="12"/>
  <c r="M42" i="12"/>
  <c r="M43" i="12"/>
  <c r="T43" i="12" s="1"/>
  <c r="M44" i="12"/>
  <c r="T44" i="12" s="1"/>
  <c r="M5" i="12"/>
  <c r="T5" i="12" s="1"/>
  <c r="T26" i="12" l="1"/>
  <c r="T14" i="12"/>
  <c r="T42" i="12"/>
  <c r="T30" i="12"/>
  <c r="T18" i="12"/>
  <c r="T25" i="12"/>
  <c r="T13" i="12"/>
  <c r="T41" i="12"/>
  <c r="T29" i="12"/>
  <c r="T17" i="12"/>
  <c r="T24" i="12"/>
  <c r="T12" i="12"/>
  <c r="T40" i="12"/>
  <c r="T28" i="12"/>
  <c r="T16" i="12"/>
  <c r="T23" i="12"/>
  <c r="T11" i="12"/>
  <c r="T27" i="12"/>
  <c r="T15" i="12"/>
  <c r="P6" i="12"/>
  <c r="S6" i="12" s="1"/>
  <c r="P7" i="12"/>
  <c r="S7" i="12" s="1"/>
  <c r="P8" i="12"/>
  <c r="S8" i="12" s="1"/>
  <c r="P9" i="12"/>
  <c r="S9" i="12" s="1"/>
  <c r="P10" i="12"/>
  <c r="S10" i="12" s="1"/>
  <c r="P11" i="12"/>
  <c r="S11" i="12" s="1"/>
  <c r="P12" i="12"/>
  <c r="S12" i="12" s="1"/>
  <c r="P13" i="12"/>
  <c r="S13" i="12" s="1"/>
  <c r="P14" i="12"/>
  <c r="S14" i="12" s="1"/>
  <c r="P15" i="12"/>
  <c r="S15" i="12" s="1"/>
  <c r="P16" i="12"/>
  <c r="S16" i="12" s="1"/>
  <c r="P17" i="12"/>
  <c r="S17" i="12" s="1"/>
  <c r="P18" i="12"/>
  <c r="S18" i="12" s="1"/>
  <c r="P19" i="12"/>
  <c r="S19" i="12" s="1"/>
  <c r="P20" i="12"/>
  <c r="S20" i="12" s="1"/>
  <c r="P21" i="12"/>
  <c r="S21" i="12" s="1"/>
  <c r="P22" i="12"/>
  <c r="S22" i="12" s="1"/>
  <c r="P23" i="12"/>
  <c r="S23" i="12" s="1"/>
  <c r="P24" i="12"/>
  <c r="S24" i="12" s="1"/>
  <c r="P25" i="12"/>
  <c r="S25" i="12" s="1"/>
  <c r="P26" i="12"/>
  <c r="S26" i="12" s="1"/>
  <c r="P27" i="12"/>
  <c r="S27" i="12" s="1"/>
  <c r="P28" i="12"/>
  <c r="S28" i="12" s="1"/>
  <c r="P29" i="12"/>
  <c r="S29" i="12" s="1"/>
  <c r="P30" i="12"/>
  <c r="S30" i="12" s="1"/>
  <c r="P31" i="12"/>
  <c r="S31" i="12" s="1"/>
  <c r="P32" i="12"/>
  <c r="S32" i="12" s="1"/>
  <c r="P33" i="12"/>
  <c r="S33" i="12" s="1"/>
  <c r="P34" i="12"/>
  <c r="S34" i="12" s="1"/>
  <c r="P35" i="12"/>
  <c r="S35" i="12" s="1"/>
  <c r="P36" i="12"/>
  <c r="S36" i="12" s="1"/>
  <c r="P37" i="12"/>
  <c r="S37" i="12" s="1"/>
  <c r="P38" i="12"/>
  <c r="S38" i="12" s="1"/>
  <c r="P39" i="12"/>
  <c r="S39" i="12" s="1"/>
  <c r="P40" i="12"/>
  <c r="S40" i="12" s="1"/>
  <c r="P41" i="12"/>
  <c r="S41" i="12" s="1"/>
  <c r="P42" i="12"/>
  <c r="S42" i="12" s="1"/>
  <c r="P43" i="12"/>
  <c r="S43" i="12" s="1"/>
  <c r="P44" i="12"/>
  <c r="S44" i="12" s="1"/>
  <c r="P5" i="12"/>
  <c r="S5" i="12" s="1"/>
  <c r="K6" i="12"/>
  <c r="N6" i="12" s="1"/>
  <c r="K7" i="12"/>
  <c r="N7" i="12" s="1"/>
  <c r="K8" i="12"/>
  <c r="N8" i="12" s="1"/>
  <c r="K9" i="12"/>
  <c r="N9" i="12" s="1"/>
  <c r="K10" i="12"/>
  <c r="N10" i="12" s="1"/>
  <c r="K11" i="12"/>
  <c r="N11" i="12" s="1"/>
  <c r="K12" i="12"/>
  <c r="N12" i="12" s="1"/>
  <c r="K13" i="12"/>
  <c r="N13" i="12" s="1"/>
  <c r="K14" i="12"/>
  <c r="N14" i="12" s="1"/>
  <c r="K15" i="12"/>
  <c r="N15" i="12" s="1"/>
  <c r="K16" i="12"/>
  <c r="N16" i="12" s="1"/>
  <c r="K17" i="12"/>
  <c r="N17" i="12" s="1"/>
  <c r="K18" i="12"/>
  <c r="N18" i="12" s="1"/>
  <c r="K19" i="12"/>
  <c r="N19" i="12" s="1"/>
  <c r="K20" i="12"/>
  <c r="N20" i="12" s="1"/>
  <c r="K21" i="12"/>
  <c r="N21" i="12" s="1"/>
  <c r="K22" i="12"/>
  <c r="N22" i="12" s="1"/>
  <c r="K23" i="12"/>
  <c r="N23" i="12" s="1"/>
  <c r="K24" i="12"/>
  <c r="N24" i="12" s="1"/>
  <c r="K25" i="12"/>
  <c r="N25" i="12" s="1"/>
  <c r="K26" i="12"/>
  <c r="N26" i="12" s="1"/>
  <c r="K27" i="12"/>
  <c r="N27" i="12" s="1"/>
  <c r="K28" i="12"/>
  <c r="N28" i="12" s="1"/>
  <c r="K29" i="12"/>
  <c r="N29" i="12" s="1"/>
  <c r="K30" i="12"/>
  <c r="N30" i="12" s="1"/>
  <c r="K31" i="12"/>
  <c r="N31" i="12" s="1"/>
  <c r="K32" i="12"/>
  <c r="N32" i="12" s="1"/>
  <c r="K33" i="12"/>
  <c r="N33" i="12" s="1"/>
  <c r="K34" i="12"/>
  <c r="N34" i="12" s="1"/>
  <c r="K35" i="12"/>
  <c r="N35" i="12" s="1"/>
  <c r="K36" i="12"/>
  <c r="N36" i="12" s="1"/>
  <c r="K37" i="12"/>
  <c r="N37" i="12" s="1"/>
  <c r="K38" i="12"/>
  <c r="N38" i="12" s="1"/>
  <c r="K39" i="12"/>
  <c r="N39" i="12" s="1"/>
  <c r="K40" i="12"/>
  <c r="N40" i="12" s="1"/>
  <c r="K41" i="12"/>
  <c r="N41" i="12" s="1"/>
  <c r="K42" i="12"/>
  <c r="N42" i="12" s="1"/>
  <c r="K43" i="12"/>
  <c r="N43" i="12" s="1"/>
  <c r="K44" i="12"/>
  <c r="N44" i="12" s="1"/>
  <c r="K5" i="12"/>
  <c r="N5" i="12" s="1"/>
  <c r="U34" i="12" l="1"/>
  <c r="U10" i="12"/>
  <c r="U21" i="12"/>
  <c r="U22" i="12"/>
  <c r="U33" i="12"/>
  <c r="U44" i="12"/>
  <c r="U32" i="12"/>
  <c r="U20" i="12"/>
  <c r="U8" i="12"/>
  <c r="U9" i="12"/>
  <c r="U43" i="12"/>
  <c r="U31" i="12"/>
  <c r="U19" i="12"/>
  <c r="U7" i="12"/>
  <c r="U23" i="12"/>
  <c r="U18" i="12"/>
  <c r="U41" i="12"/>
  <c r="U6" i="12"/>
  <c r="U40" i="12"/>
  <c r="U16" i="12"/>
  <c r="U27" i="12"/>
  <c r="U15" i="12"/>
  <c r="U42" i="12"/>
  <c r="U17" i="12"/>
  <c r="U28" i="12"/>
  <c r="U26" i="12"/>
  <c r="U14" i="12"/>
  <c r="U30" i="12"/>
  <c r="U29" i="12"/>
  <c r="U25" i="12"/>
  <c r="U13" i="12"/>
  <c r="U5" i="12"/>
  <c r="U24" i="12"/>
  <c r="U12" i="12"/>
  <c r="R6" i="23"/>
  <c r="R7" i="23"/>
  <c r="R8" i="23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T25" i="23" s="1"/>
  <c r="M26" i="23"/>
  <c r="M27" i="23"/>
  <c r="M28" i="23"/>
  <c r="M29" i="23"/>
  <c r="M5" i="23"/>
  <c r="P6" i="23"/>
  <c r="S6" i="23" s="1"/>
  <c r="P7" i="23"/>
  <c r="S7" i="23" s="1"/>
  <c r="P8" i="23"/>
  <c r="S8" i="23" s="1"/>
  <c r="P9" i="23"/>
  <c r="S9" i="23" s="1"/>
  <c r="P10" i="23"/>
  <c r="S10" i="23" s="1"/>
  <c r="P11" i="23"/>
  <c r="S11" i="23" s="1"/>
  <c r="P12" i="23"/>
  <c r="S12" i="23" s="1"/>
  <c r="P13" i="23"/>
  <c r="S13" i="23" s="1"/>
  <c r="P14" i="23"/>
  <c r="S14" i="23" s="1"/>
  <c r="P15" i="23"/>
  <c r="S15" i="23" s="1"/>
  <c r="P16" i="23"/>
  <c r="S16" i="23" s="1"/>
  <c r="P17" i="23"/>
  <c r="S17" i="23" s="1"/>
  <c r="P18" i="23"/>
  <c r="S18" i="23" s="1"/>
  <c r="P19" i="23"/>
  <c r="S19" i="23" s="1"/>
  <c r="P20" i="23"/>
  <c r="S20" i="23" s="1"/>
  <c r="P21" i="23"/>
  <c r="S21" i="23" s="1"/>
  <c r="P22" i="23"/>
  <c r="S22" i="23" s="1"/>
  <c r="P23" i="23"/>
  <c r="S23" i="23" s="1"/>
  <c r="P24" i="23"/>
  <c r="S24" i="23" s="1"/>
  <c r="P25" i="23"/>
  <c r="S25" i="23" s="1"/>
  <c r="P26" i="23"/>
  <c r="S26" i="23" s="1"/>
  <c r="P27" i="23"/>
  <c r="S27" i="23" s="1"/>
  <c r="P28" i="23"/>
  <c r="S28" i="23" s="1"/>
  <c r="P29" i="23"/>
  <c r="S29" i="23" s="1"/>
  <c r="P5" i="23"/>
  <c r="S5" i="23" s="1"/>
  <c r="K6" i="23"/>
  <c r="N6" i="23" s="1"/>
  <c r="K7" i="23"/>
  <c r="N7" i="23" s="1"/>
  <c r="K8" i="23"/>
  <c r="N8" i="23" s="1"/>
  <c r="K9" i="23"/>
  <c r="N9" i="23" s="1"/>
  <c r="K10" i="23"/>
  <c r="N10" i="23" s="1"/>
  <c r="K11" i="23"/>
  <c r="N11" i="23" s="1"/>
  <c r="K12" i="23"/>
  <c r="N12" i="23" s="1"/>
  <c r="K13" i="23"/>
  <c r="N13" i="23" s="1"/>
  <c r="K14" i="23"/>
  <c r="N14" i="23" s="1"/>
  <c r="K15" i="23"/>
  <c r="N15" i="23" s="1"/>
  <c r="K16" i="23"/>
  <c r="N16" i="23" s="1"/>
  <c r="K17" i="23"/>
  <c r="N17" i="23" s="1"/>
  <c r="K18" i="23"/>
  <c r="N18" i="23" s="1"/>
  <c r="K19" i="23"/>
  <c r="N19" i="23" s="1"/>
  <c r="K20" i="23"/>
  <c r="N20" i="23" s="1"/>
  <c r="K21" i="23"/>
  <c r="N21" i="23" s="1"/>
  <c r="K22" i="23"/>
  <c r="N22" i="23" s="1"/>
  <c r="K23" i="23"/>
  <c r="N23" i="23" s="1"/>
  <c r="K24" i="23"/>
  <c r="N24" i="23" s="1"/>
  <c r="K25" i="23"/>
  <c r="N25" i="23" s="1"/>
  <c r="K26" i="23"/>
  <c r="N26" i="23" s="1"/>
  <c r="U26" i="23" s="1"/>
  <c r="K27" i="23"/>
  <c r="N27" i="23" s="1"/>
  <c r="U27" i="23" s="1"/>
  <c r="K28" i="23"/>
  <c r="N28" i="23" s="1"/>
  <c r="K29" i="23"/>
  <c r="N29" i="23" s="1"/>
  <c r="K5" i="23"/>
  <c r="N5" i="23" s="1"/>
  <c r="S12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5" i="13"/>
  <c r="N10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5" i="13"/>
  <c r="P6" i="13"/>
  <c r="S6" i="13" s="1"/>
  <c r="P7" i="13"/>
  <c r="S7" i="13" s="1"/>
  <c r="P8" i="13"/>
  <c r="S8" i="13" s="1"/>
  <c r="P9" i="13"/>
  <c r="S9" i="13" s="1"/>
  <c r="P10" i="13"/>
  <c r="S10" i="13" s="1"/>
  <c r="P11" i="13"/>
  <c r="S11" i="13" s="1"/>
  <c r="P12" i="13"/>
  <c r="P13" i="13"/>
  <c r="S13" i="13" s="1"/>
  <c r="P14" i="13"/>
  <c r="S14" i="13" s="1"/>
  <c r="P15" i="13"/>
  <c r="S15" i="13" s="1"/>
  <c r="P16" i="13"/>
  <c r="S16" i="13" s="1"/>
  <c r="P17" i="13"/>
  <c r="S17" i="13" s="1"/>
  <c r="P18" i="13"/>
  <c r="S18" i="13" s="1"/>
  <c r="P19" i="13"/>
  <c r="S19" i="13" s="1"/>
  <c r="P20" i="13"/>
  <c r="S20" i="13" s="1"/>
  <c r="P21" i="13"/>
  <c r="S21" i="13" s="1"/>
  <c r="P22" i="13"/>
  <c r="S22" i="13" s="1"/>
  <c r="P5" i="13"/>
  <c r="S5" i="13" s="1"/>
  <c r="K6" i="13"/>
  <c r="N6" i="13" s="1"/>
  <c r="K7" i="13"/>
  <c r="N7" i="13" s="1"/>
  <c r="K8" i="13"/>
  <c r="N8" i="13" s="1"/>
  <c r="K9" i="13"/>
  <c r="N9" i="13" s="1"/>
  <c r="K10" i="13"/>
  <c r="K11" i="13"/>
  <c r="N11" i="13" s="1"/>
  <c r="K12" i="13"/>
  <c r="N12" i="13" s="1"/>
  <c r="K13" i="13"/>
  <c r="N13" i="13" s="1"/>
  <c r="K14" i="13"/>
  <c r="N14" i="13" s="1"/>
  <c r="K15" i="13"/>
  <c r="N15" i="13" s="1"/>
  <c r="K16" i="13"/>
  <c r="N16" i="13" s="1"/>
  <c r="K17" i="13"/>
  <c r="N17" i="13" s="1"/>
  <c r="K18" i="13"/>
  <c r="N18" i="13" s="1"/>
  <c r="K19" i="13"/>
  <c r="N19" i="13" s="1"/>
  <c r="K20" i="13"/>
  <c r="N20" i="13" s="1"/>
  <c r="K21" i="13"/>
  <c r="N21" i="13" s="1"/>
  <c r="K22" i="13"/>
  <c r="N22" i="13" s="1"/>
  <c r="K5" i="13"/>
  <c r="N5" i="13" s="1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R58" i="18"/>
  <c r="R59" i="18"/>
  <c r="R60" i="18"/>
  <c r="R61" i="18"/>
  <c r="R62" i="18"/>
  <c r="R63" i="18"/>
  <c r="R64" i="18"/>
  <c r="R65" i="18"/>
  <c r="R66" i="18"/>
  <c r="R67" i="18"/>
  <c r="R68" i="18"/>
  <c r="R69" i="18"/>
  <c r="R70" i="18"/>
  <c r="R71" i="18"/>
  <c r="R72" i="18"/>
  <c r="R73" i="18"/>
  <c r="R74" i="18"/>
  <c r="R75" i="18"/>
  <c r="R76" i="18"/>
  <c r="R77" i="18"/>
  <c r="R78" i="18"/>
  <c r="R79" i="18"/>
  <c r="R80" i="18"/>
  <c r="R81" i="18"/>
  <c r="R82" i="18"/>
  <c r="R83" i="18"/>
  <c r="R84" i="18"/>
  <c r="R85" i="18"/>
  <c r="R86" i="18"/>
  <c r="R87" i="18"/>
  <c r="R88" i="18"/>
  <c r="R89" i="18"/>
  <c r="R90" i="18"/>
  <c r="R91" i="18"/>
  <c r="R92" i="18"/>
  <c r="R93" i="18"/>
  <c r="R94" i="18"/>
  <c r="R95" i="18"/>
  <c r="R96" i="18"/>
  <c r="R97" i="18"/>
  <c r="R98" i="18"/>
  <c r="R99" i="18"/>
  <c r="R100" i="18"/>
  <c r="R101" i="18"/>
  <c r="R102" i="18"/>
  <c r="R103" i="18"/>
  <c r="R104" i="18"/>
  <c r="R105" i="18"/>
  <c r="R106" i="18"/>
  <c r="R107" i="18"/>
  <c r="R108" i="18"/>
  <c r="R109" i="18"/>
  <c r="R110" i="18"/>
  <c r="R111" i="18"/>
  <c r="R112" i="18"/>
  <c r="R113" i="18"/>
  <c r="R114" i="18"/>
  <c r="R115" i="18"/>
  <c r="R116" i="18"/>
  <c r="R117" i="18"/>
  <c r="R118" i="18"/>
  <c r="R119" i="18"/>
  <c r="R120" i="18"/>
  <c r="R121" i="18"/>
  <c r="R122" i="18"/>
  <c r="R123" i="18"/>
  <c r="R124" i="18"/>
  <c r="R125" i="18"/>
  <c r="R126" i="18"/>
  <c r="R127" i="18"/>
  <c r="R128" i="18"/>
  <c r="R129" i="18"/>
  <c r="R130" i="18"/>
  <c r="R131" i="18"/>
  <c r="R132" i="18"/>
  <c r="R133" i="18"/>
  <c r="R134" i="18"/>
  <c r="R135" i="18"/>
  <c r="R136" i="18"/>
  <c r="R137" i="18"/>
  <c r="R138" i="18"/>
  <c r="R139" i="18"/>
  <c r="R140" i="18"/>
  <c r="R141" i="18"/>
  <c r="R142" i="18"/>
  <c r="R143" i="18"/>
  <c r="R144" i="18"/>
  <c r="R145" i="18"/>
  <c r="R146" i="18"/>
  <c r="R147" i="18"/>
  <c r="R148" i="18"/>
  <c r="R149" i="18"/>
  <c r="R150" i="18"/>
  <c r="R151" i="18"/>
  <c r="R152" i="18"/>
  <c r="R153" i="18"/>
  <c r="R154" i="18"/>
  <c r="R155" i="18"/>
  <c r="R156" i="18"/>
  <c r="R157" i="18"/>
  <c r="R158" i="18"/>
  <c r="R159" i="18"/>
  <c r="R160" i="18"/>
  <c r="R161" i="18"/>
  <c r="R162" i="18"/>
  <c r="R163" i="18"/>
  <c r="R164" i="18"/>
  <c r="R165" i="18"/>
  <c r="R166" i="18"/>
  <c r="R167" i="18"/>
  <c r="R168" i="18"/>
  <c r="R169" i="18"/>
  <c r="R170" i="18"/>
  <c r="R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T35" i="18" s="1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T76" i="18" s="1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T161" i="18" s="1"/>
  <c r="M162" i="18"/>
  <c r="M163" i="18"/>
  <c r="M164" i="18"/>
  <c r="M165" i="18"/>
  <c r="M166" i="18"/>
  <c r="M167" i="18"/>
  <c r="M168" i="18"/>
  <c r="M169" i="18"/>
  <c r="M170" i="18"/>
  <c r="M5" i="18"/>
  <c r="T29" i="23" l="1"/>
  <c r="T166" i="18"/>
  <c r="T142" i="18"/>
  <c r="T130" i="18"/>
  <c r="T118" i="18"/>
  <c r="T106" i="18"/>
  <c r="T94" i="18"/>
  <c r="T82" i="18"/>
  <c r="T70" i="18"/>
  <c r="T46" i="18"/>
  <c r="T34" i="18"/>
  <c r="T22" i="18"/>
  <c r="T22" i="13"/>
  <c r="T122" i="18"/>
  <c r="T74" i="18"/>
  <c r="T145" i="18"/>
  <c r="T121" i="18"/>
  <c r="T73" i="18"/>
  <c r="T5" i="18"/>
  <c r="T120" i="18"/>
  <c r="T60" i="18"/>
  <c r="U6" i="13"/>
  <c r="U29" i="23"/>
  <c r="T154" i="18"/>
  <c r="T10" i="18"/>
  <c r="T58" i="18"/>
  <c r="U25" i="23"/>
  <c r="T28" i="23"/>
  <c r="T27" i="23"/>
  <c r="T26" i="23"/>
  <c r="U28" i="23"/>
  <c r="U21" i="13"/>
  <c r="T7" i="13"/>
  <c r="T6" i="13"/>
  <c r="T5" i="13"/>
  <c r="T21" i="13"/>
  <c r="U20" i="13"/>
  <c r="T20" i="13"/>
  <c r="T119" i="18"/>
  <c r="T59" i="18"/>
  <c r="T36" i="18"/>
  <c r="T153" i="18"/>
  <c r="T117" i="18"/>
  <c r="T81" i="18"/>
  <c r="T57" i="18"/>
  <c r="T33" i="18"/>
  <c r="T140" i="18"/>
  <c r="T116" i="18"/>
  <c r="T92" i="18"/>
  <c r="T68" i="18"/>
  <c r="T32" i="18"/>
  <c r="T8" i="18"/>
  <c r="T163" i="18"/>
  <c r="T151" i="18"/>
  <c r="T139" i="18"/>
  <c r="T127" i="18"/>
  <c r="T115" i="18"/>
  <c r="T103" i="18"/>
  <c r="T91" i="18"/>
  <c r="T79" i="18"/>
  <c r="T67" i="18"/>
  <c r="T55" i="18"/>
  <c r="T43" i="18"/>
  <c r="T31" i="18"/>
  <c r="T19" i="18"/>
  <c r="T7" i="18"/>
  <c r="T141" i="18"/>
  <c r="T93" i="18"/>
  <c r="T21" i="18"/>
  <c r="T152" i="18"/>
  <c r="T56" i="18"/>
  <c r="T162" i="18"/>
  <c r="T138" i="18"/>
  <c r="T114" i="18"/>
  <c r="T102" i="18"/>
  <c r="T78" i="18"/>
  <c r="T66" i="18"/>
  <c r="T54" i="18"/>
  <c r="T42" i="18"/>
  <c r="T30" i="18"/>
  <c r="T18" i="18"/>
  <c r="T6" i="18"/>
  <c r="T160" i="18"/>
  <c r="T165" i="18"/>
  <c r="T129" i="18"/>
  <c r="T105" i="18"/>
  <c r="T69" i="18"/>
  <c r="T45" i="18"/>
  <c r="T9" i="18"/>
  <c r="T164" i="18"/>
  <c r="T128" i="18"/>
  <c r="T104" i="18"/>
  <c r="T80" i="18"/>
  <c r="T44" i="18"/>
  <c r="T20" i="18"/>
  <c r="T150" i="18"/>
  <c r="T126" i="18"/>
  <c r="T90" i="18"/>
  <c r="T159" i="18"/>
  <c r="T75" i="18"/>
  <c r="T146" i="18"/>
  <c r="T137" i="18"/>
  <c r="T113" i="18"/>
  <c r="T77" i="18"/>
  <c r="T53" i="18"/>
  <c r="T136" i="18"/>
  <c r="T100" i="18"/>
  <c r="T64" i="18"/>
  <c r="T40" i="18"/>
  <c r="T16" i="18"/>
  <c r="T50" i="18"/>
  <c r="T14" i="18"/>
  <c r="T125" i="18"/>
  <c r="T101" i="18"/>
  <c r="T65" i="18"/>
  <c r="T41" i="18"/>
  <c r="T148" i="18"/>
  <c r="T112" i="18"/>
  <c r="T88" i="18"/>
  <c r="T52" i="18"/>
  <c r="T28" i="18"/>
  <c r="T170" i="18"/>
  <c r="T49" i="18"/>
  <c r="T89" i="18"/>
  <c r="T17" i="18"/>
  <c r="T144" i="18"/>
  <c r="T149" i="18"/>
  <c r="T29" i="18"/>
  <c r="T124" i="18"/>
  <c r="T95" i="18"/>
  <c r="T135" i="18"/>
  <c r="T51" i="18"/>
  <c r="T15" i="18"/>
  <c r="T169" i="18"/>
  <c r="T123" i="18"/>
  <c r="T87" i="18"/>
  <c r="T111" i="18"/>
  <c r="T99" i="18"/>
  <c r="T63" i="18"/>
  <c r="T39" i="18"/>
  <c r="T158" i="18"/>
  <c r="T134" i="18"/>
  <c r="T110" i="18"/>
  <c r="T98" i="18"/>
  <c r="T86" i="18"/>
  <c r="T62" i="18"/>
  <c r="T38" i="18"/>
  <c r="T26" i="18"/>
  <c r="T147" i="18"/>
  <c r="T157" i="18"/>
  <c r="T133" i="18"/>
  <c r="T109" i="18"/>
  <c r="T97" i="18"/>
  <c r="T85" i="18"/>
  <c r="T61" i="18"/>
  <c r="T37" i="18"/>
  <c r="T25" i="18"/>
  <c r="T13" i="18"/>
  <c r="T27" i="18"/>
  <c r="T168" i="18"/>
  <c r="T156" i="18"/>
  <c r="T132" i="18"/>
  <c r="T108" i="18"/>
  <c r="T96" i="18"/>
  <c r="T84" i="18"/>
  <c r="T72" i="18"/>
  <c r="T48" i="18"/>
  <c r="T24" i="18"/>
  <c r="T12" i="18"/>
  <c r="T167" i="18"/>
  <c r="T155" i="18"/>
  <c r="T143" i="18"/>
  <c r="T131" i="18"/>
  <c r="T107" i="18"/>
  <c r="T83" i="18"/>
  <c r="T71" i="18"/>
  <c r="T47" i="18"/>
  <c r="T23" i="18"/>
  <c r="T11" i="18"/>
  <c r="U5" i="13"/>
  <c r="U22" i="13"/>
  <c r="U7" i="13"/>
  <c r="P155" i="18"/>
  <c r="S155" i="18" s="1"/>
  <c r="K155" i="18"/>
  <c r="N155" i="18" s="1"/>
  <c r="P154" i="18"/>
  <c r="S154" i="18" s="1"/>
  <c r="N154" i="18"/>
  <c r="P147" i="18"/>
  <c r="S147" i="18" s="1"/>
  <c r="K147" i="18"/>
  <c r="N147" i="18" s="1"/>
  <c r="P6" i="18"/>
  <c r="S6" i="18" s="1"/>
  <c r="P7" i="18"/>
  <c r="S7" i="18" s="1"/>
  <c r="P8" i="18"/>
  <c r="S8" i="18" s="1"/>
  <c r="P9" i="18"/>
  <c r="S9" i="18" s="1"/>
  <c r="P10" i="18"/>
  <c r="S10" i="18" s="1"/>
  <c r="P11" i="18"/>
  <c r="S11" i="18" s="1"/>
  <c r="P12" i="18"/>
  <c r="S12" i="18" s="1"/>
  <c r="P13" i="18"/>
  <c r="S13" i="18" s="1"/>
  <c r="P14" i="18"/>
  <c r="S14" i="18" s="1"/>
  <c r="P15" i="18"/>
  <c r="S15" i="18" s="1"/>
  <c r="P16" i="18"/>
  <c r="S16" i="18" s="1"/>
  <c r="P17" i="18"/>
  <c r="S17" i="18" s="1"/>
  <c r="P18" i="18"/>
  <c r="S18" i="18" s="1"/>
  <c r="P19" i="18"/>
  <c r="S19" i="18" s="1"/>
  <c r="P20" i="18"/>
  <c r="S20" i="18" s="1"/>
  <c r="P21" i="18"/>
  <c r="S21" i="18" s="1"/>
  <c r="P22" i="18"/>
  <c r="S22" i="18" s="1"/>
  <c r="P23" i="18"/>
  <c r="S23" i="18" s="1"/>
  <c r="P24" i="18"/>
  <c r="S24" i="18" s="1"/>
  <c r="P25" i="18"/>
  <c r="S25" i="18" s="1"/>
  <c r="P26" i="18"/>
  <c r="S26" i="18" s="1"/>
  <c r="P27" i="18"/>
  <c r="S27" i="18" s="1"/>
  <c r="P28" i="18"/>
  <c r="S28" i="18" s="1"/>
  <c r="P29" i="18"/>
  <c r="S29" i="18" s="1"/>
  <c r="P30" i="18"/>
  <c r="S30" i="18" s="1"/>
  <c r="P31" i="18"/>
  <c r="S31" i="18" s="1"/>
  <c r="P32" i="18"/>
  <c r="S32" i="18" s="1"/>
  <c r="P33" i="18"/>
  <c r="S33" i="18" s="1"/>
  <c r="P34" i="18"/>
  <c r="S34" i="18" s="1"/>
  <c r="P35" i="18"/>
  <c r="S35" i="18" s="1"/>
  <c r="P36" i="18"/>
  <c r="S36" i="18" s="1"/>
  <c r="P37" i="18"/>
  <c r="S37" i="18" s="1"/>
  <c r="P38" i="18"/>
  <c r="S38" i="18" s="1"/>
  <c r="P39" i="18"/>
  <c r="S39" i="18" s="1"/>
  <c r="P40" i="18"/>
  <c r="S40" i="18" s="1"/>
  <c r="P41" i="18"/>
  <c r="S41" i="18" s="1"/>
  <c r="P42" i="18"/>
  <c r="S42" i="18" s="1"/>
  <c r="P43" i="18"/>
  <c r="S43" i="18" s="1"/>
  <c r="P44" i="18"/>
  <c r="S44" i="18" s="1"/>
  <c r="P45" i="18"/>
  <c r="S45" i="18" s="1"/>
  <c r="P46" i="18"/>
  <c r="S46" i="18" s="1"/>
  <c r="P47" i="18"/>
  <c r="S47" i="18" s="1"/>
  <c r="P48" i="18"/>
  <c r="S48" i="18" s="1"/>
  <c r="P49" i="18"/>
  <c r="S49" i="18" s="1"/>
  <c r="P50" i="18"/>
  <c r="S50" i="18" s="1"/>
  <c r="P51" i="18"/>
  <c r="S51" i="18" s="1"/>
  <c r="P52" i="18"/>
  <c r="S52" i="18" s="1"/>
  <c r="P53" i="18"/>
  <c r="S53" i="18" s="1"/>
  <c r="P54" i="18"/>
  <c r="S54" i="18" s="1"/>
  <c r="P55" i="18"/>
  <c r="S55" i="18" s="1"/>
  <c r="P56" i="18"/>
  <c r="S56" i="18" s="1"/>
  <c r="P57" i="18"/>
  <c r="S57" i="18" s="1"/>
  <c r="P58" i="18"/>
  <c r="S58" i="18" s="1"/>
  <c r="P59" i="18"/>
  <c r="S59" i="18" s="1"/>
  <c r="P60" i="18"/>
  <c r="S60" i="18" s="1"/>
  <c r="P61" i="18"/>
  <c r="S61" i="18" s="1"/>
  <c r="P62" i="18"/>
  <c r="S62" i="18" s="1"/>
  <c r="P63" i="18"/>
  <c r="S63" i="18" s="1"/>
  <c r="P64" i="18"/>
  <c r="S64" i="18" s="1"/>
  <c r="P65" i="18"/>
  <c r="S65" i="18" s="1"/>
  <c r="P66" i="18"/>
  <c r="S66" i="18" s="1"/>
  <c r="P67" i="18"/>
  <c r="S67" i="18" s="1"/>
  <c r="P68" i="18"/>
  <c r="S68" i="18" s="1"/>
  <c r="P69" i="18"/>
  <c r="S69" i="18" s="1"/>
  <c r="P70" i="18"/>
  <c r="S70" i="18" s="1"/>
  <c r="P71" i="18"/>
  <c r="S71" i="18" s="1"/>
  <c r="P72" i="18"/>
  <c r="S72" i="18" s="1"/>
  <c r="P73" i="18"/>
  <c r="S73" i="18" s="1"/>
  <c r="P74" i="18"/>
  <c r="S74" i="18" s="1"/>
  <c r="P75" i="18"/>
  <c r="S75" i="18" s="1"/>
  <c r="P76" i="18"/>
  <c r="S76" i="18" s="1"/>
  <c r="P77" i="18"/>
  <c r="S77" i="18" s="1"/>
  <c r="P78" i="18"/>
  <c r="S78" i="18" s="1"/>
  <c r="P79" i="18"/>
  <c r="S79" i="18" s="1"/>
  <c r="P80" i="18"/>
  <c r="S80" i="18" s="1"/>
  <c r="P81" i="18"/>
  <c r="S81" i="18" s="1"/>
  <c r="P82" i="18"/>
  <c r="S82" i="18" s="1"/>
  <c r="P83" i="18"/>
  <c r="S83" i="18" s="1"/>
  <c r="P84" i="18"/>
  <c r="S84" i="18" s="1"/>
  <c r="P85" i="18"/>
  <c r="S85" i="18" s="1"/>
  <c r="P86" i="18"/>
  <c r="S86" i="18" s="1"/>
  <c r="P87" i="18"/>
  <c r="S87" i="18" s="1"/>
  <c r="P88" i="18"/>
  <c r="S88" i="18" s="1"/>
  <c r="P89" i="18"/>
  <c r="S89" i="18" s="1"/>
  <c r="P90" i="18"/>
  <c r="S90" i="18" s="1"/>
  <c r="P91" i="18"/>
  <c r="S91" i="18" s="1"/>
  <c r="P92" i="18"/>
  <c r="S92" i="18" s="1"/>
  <c r="P93" i="18"/>
  <c r="S93" i="18" s="1"/>
  <c r="P94" i="18"/>
  <c r="S94" i="18" s="1"/>
  <c r="P95" i="18"/>
  <c r="S95" i="18" s="1"/>
  <c r="P96" i="18"/>
  <c r="S96" i="18" s="1"/>
  <c r="P97" i="18"/>
  <c r="S97" i="18" s="1"/>
  <c r="P98" i="18"/>
  <c r="S98" i="18" s="1"/>
  <c r="P99" i="18"/>
  <c r="S99" i="18" s="1"/>
  <c r="P100" i="18"/>
  <c r="S100" i="18" s="1"/>
  <c r="P101" i="18"/>
  <c r="S101" i="18" s="1"/>
  <c r="P102" i="18"/>
  <c r="S102" i="18" s="1"/>
  <c r="P103" i="18"/>
  <c r="S103" i="18" s="1"/>
  <c r="P104" i="18"/>
  <c r="S104" i="18" s="1"/>
  <c r="P105" i="18"/>
  <c r="S105" i="18" s="1"/>
  <c r="P106" i="18"/>
  <c r="S106" i="18" s="1"/>
  <c r="P107" i="18"/>
  <c r="S107" i="18" s="1"/>
  <c r="P108" i="18"/>
  <c r="S108" i="18" s="1"/>
  <c r="P109" i="18"/>
  <c r="S109" i="18" s="1"/>
  <c r="P110" i="18"/>
  <c r="S110" i="18" s="1"/>
  <c r="P111" i="18"/>
  <c r="S111" i="18" s="1"/>
  <c r="P112" i="18"/>
  <c r="S112" i="18" s="1"/>
  <c r="P113" i="18"/>
  <c r="S113" i="18" s="1"/>
  <c r="P114" i="18"/>
  <c r="S114" i="18" s="1"/>
  <c r="P115" i="18"/>
  <c r="S115" i="18" s="1"/>
  <c r="P116" i="18"/>
  <c r="S116" i="18" s="1"/>
  <c r="P117" i="18"/>
  <c r="S117" i="18" s="1"/>
  <c r="P118" i="18"/>
  <c r="S118" i="18" s="1"/>
  <c r="P119" i="18"/>
  <c r="S119" i="18" s="1"/>
  <c r="P120" i="18"/>
  <c r="S120" i="18" s="1"/>
  <c r="P121" i="18"/>
  <c r="S121" i="18" s="1"/>
  <c r="P122" i="18"/>
  <c r="S122" i="18" s="1"/>
  <c r="P123" i="18"/>
  <c r="S123" i="18" s="1"/>
  <c r="P124" i="18"/>
  <c r="S124" i="18" s="1"/>
  <c r="P125" i="18"/>
  <c r="S125" i="18" s="1"/>
  <c r="P126" i="18"/>
  <c r="S126" i="18" s="1"/>
  <c r="P127" i="18"/>
  <c r="S127" i="18" s="1"/>
  <c r="P128" i="18"/>
  <c r="S128" i="18" s="1"/>
  <c r="P129" i="18"/>
  <c r="S129" i="18" s="1"/>
  <c r="P130" i="18"/>
  <c r="S130" i="18" s="1"/>
  <c r="P131" i="18"/>
  <c r="S131" i="18" s="1"/>
  <c r="P132" i="18"/>
  <c r="S132" i="18" s="1"/>
  <c r="P133" i="18"/>
  <c r="S133" i="18" s="1"/>
  <c r="P134" i="18"/>
  <c r="S134" i="18" s="1"/>
  <c r="P135" i="18"/>
  <c r="S135" i="18" s="1"/>
  <c r="P136" i="18"/>
  <c r="S136" i="18" s="1"/>
  <c r="P137" i="18"/>
  <c r="S137" i="18" s="1"/>
  <c r="P138" i="18"/>
  <c r="S138" i="18" s="1"/>
  <c r="P139" i="18"/>
  <c r="S139" i="18" s="1"/>
  <c r="P140" i="18"/>
  <c r="S140" i="18" s="1"/>
  <c r="P141" i="18"/>
  <c r="S141" i="18" s="1"/>
  <c r="P142" i="18"/>
  <c r="S142" i="18" s="1"/>
  <c r="P143" i="18"/>
  <c r="S143" i="18" s="1"/>
  <c r="P144" i="18"/>
  <c r="S144" i="18" s="1"/>
  <c r="P145" i="18"/>
  <c r="S145" i="18" s="1"/>
  <c r="P146" i="18"/>
  <c r="S146" i="18" s="1"/>
  <c r="P148" i="18"/>
  <c r="S148" i="18" s="1"/>
  <c r="P149" i="18"/>
  <c r="S149" i="18" s="1"/>
  <c r="P150" i="18"/>
  <c r="S150" i="18" s="1"/>
  <c r="P151" i="18"/>
  <c r="S151" i="18" s="1"/>
  <c r="P152" i="18"/>
  <c r="S152" i="18" s="1"/>
  <c r="P153" i="18"/>
  <c r="S153" i="18" s="1"/>
  <c r="P156" i="18"/>
  <c r="S156" i="18" s="1"/>
  <c r="P157" i="18"/>
  <c r="S157" i="18" s="1"/>
  <c r="P158" i="18"/>
  <c r="S158" i="18" s="1"/>
  <c r="P159" i="18"/>
  <c r="S159" i="18" s="1"/>
  <c r="P160" i="18"/>
  <c r="S160" i="18" s="1"/>
  <c r="P161" i="18"/>
  <c r="S161" i="18" s="1"/>
  <c r="P162" i="18"/>
  <c r="S162" i="18" s="1"/>
  <c r="P163" i="18"/>
  <c r="S163" i="18" s="1"/>
  <c r="P164" i="18"/>
  <c r="S164" i="18" s="1"/>
  <c r="P165" i="18"/>
  <c r="S165" i="18" s="1"/>
  <c r="P166" i="18"/>
  <c r="S166" i="18" s="1"/>
  <c r="P167" i="18"/>
  <c r="S167" i="18" s="1"/>
  <c r="P168" i="18"/>
  <c r="S168" i="18" s="1"/>
  <c r="P169" i="18"/>
  <c r="S169" i="18" s="1"/>
  <c r="P170" i="18"/>
  <c r="S170" i="18" s="1"/>
  <c r="P5" i="18"/>
  <c r="S5" i="18" s="1"/>
  <c r="K6" i="18"/>
  <c r="N6" i="18" s="1"/>
  <c r="K7" i="18"/>
  <c r="N7" i="18" s="1"/>
  <c r="K8" i="18"/>
  <c r="N8" i="18" s="1"/>
  <c r="K9" i="18"/>
  <c r="N9" i="18" s="1"/>
  <c r="K10" i="18"/>
  <c r="N10" i="18" s="1"/>
  <c r="K11" i="18"/>
  <c r="N11" i="18" s="1"/>
  <c r="K12" i="18"/>
  <c r="N12" i="18" s="1"/>
  <c r="K13" i="18"/>
  <c r="N13" i="18" s="1"/>
  <c r="K14" i="18"/>
  <c r="N14" i="18" s="1"/>
  <c r="K15" i="18"/>
  <c r="N15" i="18" s="1"/>
  <c r="K16" i="18"/>
  <c r="N16" i="18" s="1"/>
  <c r="K17" i="18"/>
  <c r="N17" i="18" s="1"/>
  <c r="K18" i="18"/>
  <c r="N18" i="18" s="1"/>
  <c r="K19" i="18"/>
  <c r="N19" i="18" s="1"/>
  <c r="K20" i="18"/>
  <c r="N20" i="18" s="1"/>
  <c r="K21" i="18"/>
  <c r="N21" i="18" s="1"/>
  <c r="K22" i="18"/>
  <c r="N22" i="18" s="1"/>
  <c r="K23" i="18"/>
  <c r="N23" i="18" s="1"/>
  <c r="K24" i="18"/>
  <c r="N24" i="18" s="1"/>
  <c r="K25" i="18"/>
  <c r="N25" i="18" s="1"/>
  <c r="K26" i="18"/>
  <c r="N26" i="18" s="1"/>
  <c r="K27" i="18"/>
  <c r="N27" i="18" s="1"/>
  <c r="K28" i="18"/>
  <c r="N28" i="18" s="1"/>
  <c r="K29" i="18"/>
  <c r="N29" i="18" s="1"/>
  <c r="K30" i="18"/>
  <c r="N30" i="18" s="1"/>
  <c r="K31" i="18"/>
  <c r="N31" i="18" s="1"/>
  <c r="K32" i="18"/>
  <c r="N32" i="18" s="1"/>
  <c r="K33" i="18"/>
  <c r="N33" i="18" s="1"/>
  <c r="K34" i="18"/>
  <c r="N34" i="18" s="1"/>
  <c r="K35" i="18"/>
  <c r="N35" i="18" s="1"/>
  <c r="K36" i="18"/>
  <c r="N36" i="18" s="1"/>
  <c r="K37" i="18"/>
  <c r="N37" i="18" s="1"/>
  <c r="K38" i="18"/>
  <c r="N38" i="18" s="1"/>
  <c r="K39" i="18"/>
  <c r="N39" i="18" s="1"/>
  <c r="K40" i="18"/>
  <c r="N40" i="18" s="1"/>
  <c r="K41" i="18"/>
  <c r="N41" i="18" s="1"/>
  <c r="K42" i="18"/>
  <c r="N42" i="18" s="1"/>
  <c r="K43" i="18"/>
  <c r="N43" i="18" s="1"/>
  <c r="K44" i="18"/>
  <c r="N44" i="18" s="1"/>
  <c r="K45" i="18"/>
  <c r="N45" i="18" s="1"/>
  <c r="K46" i="18"/>
  <c r="N46" i="18" s="1"/>
  <c r="K47" i="18"/>
  <c r="N47" i="18" s="1"/>
  <c r="K48" i="18"/>
  <c r="N48" i="18" s="1"/>
  <c r="K49" i="18"/>
  <c r="N49" i="18" s="1"/>
  <c r="K50" i="18"/>
  <c r="N50" i="18" s="1"/>
  <c r="K51" i="18"/>
  <c r="N51" i="18" s="1"/>
  <c r="K52" i="18"/>
  <c r="N52" i="18" s="1"/>
  <c r="K53" i="18"/>
  <c r="N53" i="18" s="1"/>
  <c r="K54" i="18"/>
  <c r="N54" i="18" s="1"/>
  <c r="K55" i="18"/>
  <c r="N55" i="18" s="1"/>
  <c r="K56" i="18"/>
  <c r="N56" i="18" s="1"/>
  <c r="K57" i="18"/>
  <c r="N57" i="18" s="1"/>
  <c r="K58" i="18"/>
  <c r="N58" i="18" s="1"/>
  <c r="K59" i="18"/>
  <c r="N59" i="18" s="1"/>
  <c r="K60" i="18"/>
  <c r="N60" i="18" s="1"/>
  <c r="K61" i="18"/>
  <c r="N61" i="18" s="1"/>
  <c r="K62" i="18"/>
  <c r="N62" i="18" s="1"/>
  <c r="K63" i="18"/>
  <c r="N63" i="18" s="1"/>
  <c r="K64" i="18"/>
  <c r="N64" i="18" s="1"/>
  <c r="K65" i="18"/>
  <c r="N65" i="18" s="1"/>
  <c r="K66" i="18"/>
  <c r="N66" i="18" s="1"/>
  <c r="K67" i="18"/>
  <c r="N67" i="18" s="1"/>
  <c r="K68" i="18"/>
  <c r="N68" i="18" s="1"/>
  <c r="K69" i="18"/>
  <c r="N69" i="18" s="1"/>
  <c r="K70" i="18"/>
  <c r="N70" i="18" s="1"/>
  <c r="K71" i="18"/>
  <c r="N71" i="18" s="1"/>
  <c r="K72" i="18"/>
  <c r="N72" i="18" s="1"/>
  <c r="K73" i="18"/>
  <c r="N73" i="18" s="1"/>
  <c r="K74" i="18"/>
  <c r="N74" i="18" s="1"/>
  <c r="K75" i="18"/>
  <c r="N75" i="18" s="1"/>
  <c r="K76" i="18"/>
  <c r="N76" i="18" s="1"/>
  <c r="K77" i="18"/>
  <c r="N77" i="18" s="1"/>
  <c r="K78" i="18"/>
  <c r="N78" i="18" s="1"/>
  <c r="K79" i="18"/>
  <c r="N79" i="18" s="1"/>
  <c r="K80" i="18"/>
  <c r="N80" i="18" s="1"/>
  <c r="K81" i="18"/>
  <c r="N81" i="18" s="1"/>
  <c r="K82" i="18"/>
  <c r="N82" i="18" s="1"/>
  <c r="K83" i="18"/>
  <c r="N83" i="18" s="1"/>
  <c r="K84" i="18"/>
  <c r="N84" i="18" s="1"/>
  <c r="K85" i="18"/>
  <c r="N85" i="18" s="1"/>
  <c r="K86" i="18"/>
  <c r="N86" i="18" s="1"/>
  <c r="K87" i="18"/>
  <c r="N87" i="18" s="1"/>
  <c r="K88" i="18"/>
  <c r="N88" i="18" s="1"/>
  <c r="K89" i="18"/>
  <c r="N89" i="18" s="1"/>
  <c r="K90" i="18"/>
  <c r="N90" i="18" s="1"/>
  <c r="K91" i="18"/>
  <c r="N91" i="18" s="1"/>
  <c r="K92" i="18"/>
  <c r="N92" i="18" s="1"/>
  <c r="K93" i="18"/>
  <c r="N93" i="18" s="1"/>
  <c r="K94" i="18"/>
  <c r="N94" i="18" s="1"/>
  <c r="K95" i="18"/>
  <c r="N95" i="18" s="1"/>
  <c r="K96" i="18"/>
  <c r="N96" i="18" s="1"/>
  <c r="K97" i="18"/>
  <c r="N97" i="18" s="1"/>
  <c r="K98" i="18"/>
  <c r="N98" i="18" s="1"/>
  <c r="K99" i="18"/>
  <c r="N99" i="18" s="1"/>
  <c r="K100" i="18"/>
  <c r="N100" i="18" s="1"/>
  <c r="K101" i="18"/>
  <c r="N101" i="18" s="1"/>
  <c r="K102" i="18"/>
  <c r="N102" i="18" s="1"/>
  <c r="K103" i="18"/>
  <c r="N103" i="18" s="1"/>
  <c r="K104" i="18"/>
  <c r="N104" i="18" s="1"/>
  <c r="K105" i="18"/>
  <c r="N105" i="18" s="1"/>
  <c r="K106" i="18"/>
  <c r="N106" i="18" s="1"/>
  <c r="K107" i="18"/>
  <c r="N107" i="18" s="1"/>
  <c r="K108" i="18"/>
  <c r="N108" i="18" s="1"/>
  <c r="K109" i="18"/>
  <c r="N109" i="18" s="1"/>
  <c r="K110" i="18"/>
  <c r="N110" i="18" s="1"/>
  <c r="K111" i="18"/>
  <c r="N111" i="18" s="1"/>
  <c r="K112" i="18"/>
  <c r="N112" i="18" s="1"/>
  <c r="K113" i="18"/>
  <c r="N113" i="18" s="1"/>
  <c r="K114" i="18"/>
  <c r="N114" i="18" s="1"/>
  <c r="K115" i="18"/>
  <c r="N115" i="18" s="1"/>
  <c r="K116" i="18"/>
  <c r="N116" i="18" s="1"/>
  <c r="K117" i="18"/>
  <c r="N117" i="18" s="1"/>
  <c r="K118" i="18"/>
  <c r="N118" i="18" s="1"/>
  <c r="K119" i="18"/>
  <c r="N119" i="18" s="1"/>
  <c r="K120" i="18"/>
  <c r="N120" i="18" s="1"/>
  <c r="K121" i="18"/>
  <c r="N121" i="18" s="1"/>
  <c r="K122" i="18"/>
  <c r="N122" i="18" s="1"/>
  <c r="K123" i="18"/>
  <c r="N123" i="18" s="1"/>
  <c r="K124" i="18"/>
  <c r="N124" i="18" s="1"/>
  <c r="K125" i="18"/>
  <c r="N125" i="18" s="1"/>
  <c r="K126" i="18"/>
  <c r="N126" i="18" s="1"/>
  <c r="K127" i="18"/>
  <c r="N127" i="18" s="1"/>
  <c r="K128" i="18"/>
  <c r="N128" i="18" s="1"/>
  <c r="K129" i="18"/>
  <c r="N129" i="18" s="1"/>
  <c r="K130" i="18"/>
  <c r="N130" i="18" s="1"/>
  <c r="K131" i="18"/>
  <c r="N131" i="18" s="1"/>
  <c r="K132" i="18"/>
  <c r="N132" i="18" s="1"/>
  <c r="K133" i="18"/>
  <c r="N133" i="18" s="1"/>
  <c r="K134" i="18"/>
  <c r="N134" i="18" s="1"/>
  <c r="K135" i="18"/>
  <c r="N135" i="18" s="1"/>
  <c r="K136" i="18"/>
  <c r="N136" i="18" s="1"/>
  <c r="K137" i="18"/>
  <c r="N137" i="18" s="1"/>
  <c r="K138" i="18"/>
  <c r="N138" i="18" s="1"/>
  <c r="K139" i="18"/>
  <c r="N139" i="18" s="1"/>
  <c r="K140" i="18"/>
  <c r="N140" i="18" s="1"/>
  <c r="K141" i="18"/>
  <c r="N141" i="18" s="1"/>
  <c r="K142" i="18"/>
  <c r="N142" i="18" s="1"/>
  <c r="K143" i="18"/>
  <c r="N143" i="18" s="1"/>
  <c r="K144" i="18"/>
  <c r="N144" i="18" s="1"/>
  <c r="N145" i="18"/>
  <c r="K146" i="18"/>
  <c r="N146" i="18" s="1"/>
  <c r="K148" i="18"/>
  <c r="N148" i="18" s="1"/>
  <c r="K149" i="18"/>
  <c r="N149" i="18" s="1"/>
  <c r="K150" i="18"/>
  <c r="N150" i="18" s="1"/>
  <c r="K151" i="18"/>
  <c r="N151" i="18" s="1"/>
  <c r="K152" i="18"/>
  <c r="N152" i="18" s="1"/>
  <c r="K153" i="18"/>
  <c r="N153" i="18" s="1"/>
  <c r="K156" i="18"/>
  <c r="N156" i="18" s="1"/>
  <c r="K157" i="18"/>
  <c r="N157" i="18" s="1"/>
  <c r="K158" i="18"/>
  <c r="N158" i="18" s="1"/>
  <c r="K159" i="18"/>
  <c r="N159" i="18" s="1"/>
  <c r="K160" i="18"/>
  <c r="N160" i="18" s="1"/>
  <c r="K161" i="18"/>
  <c r="N161" i="18" s="1"/>
  <c r="K162" i="18"/>
  <c r="N162" i="18" s="1"/>
  <c r="K163" i="18"/>
  <c r="N163" i="18" s="1"/>
  <c r="K164" i="18"/>
  <c r="N164" i="18" s="1"/>
  <c r="N165" i="18"/>
  <c r="K166" i="18"/>
  <c r="N166" i="18" s="1"/>
  <c r="K167" i="18"/>
  <c r="N167" i="18" s="1"/>
  <c r="K168" i="18"/>
  <c r="N168" i="18" s="1"/>
  <c r="K169" i="18"/>
  <c r="N169" i="18" s="1"/>
  <c r="K170" i="18"/>
  <c r="N170" i="18" s="1"/>
  <c r="K5" i="18"/>
  <c r="N5" i="18" s="1"/>
  <c r="U165" i="18" l="1"/>
  <c r="U151" i="18"/>
  <c r="U138" i="18"/>
  <c r="U126" i="18"/>
  <c r="U114" i="18"/>
  <c r="U102" i="18"/>
  <c r="U90" i="18"/>
  <c r="U78" i="18"/>
  <c r="U66" i="18"/>
  <c r="U164" i="18"/>
  <c r="U137" i="18"/>
  <c r="U113" i="18"/>
  <c r="U101" i="18"/>
  <c r="U89" i="18"/>
  <c r="U77" i="18"/>
  <c r="U65" i="18"/>
  <c r="U53" i="18"/>
  <c r="U41" i="18"/>
  <c r="U29" i="18"/>
  <c r="U17" i="18"/>
  <c r="U150" i="18"/>
  <c r="U125" i="18"/>
  <c r="U154" i="18"/>
  <c r="U84" i="18"/>
  <c r="U159" i="18"/>
  <c r="U132" i="18"/>
  <c r="U108" i="18"/>
  <c r="U72" i="18"/>
  <c r="U48" i="18"/>
  <c r="U24" i="18"/>
  <c r="U170" i="18"/>
  <c r="U144" i="18"/>
  <c r="U120" i="18"/>
  <c r="U96" i="18"/>
  <c r="U60" i="18"/>
  <c r="U36" i="18"/>
  <c r="U12" i="18"/>
  <c r="U169" i="18"/>
  <c r="U155" i="18"/>
  <c r="U163" i="18"/>
  <c r="U149" i="18"/>
  <c r="U136" i="18"/>
  <c r="U124" i="18"/>
  <c r="U112" i="18"/>
  <c r="U100" i="18"/>
  <c r="U88" i="18"/>
  <c r="U76" i="18"/>
  <c r="U64" i="18"/>
  <c r="U52" i="18"/>
  <c r="U40" i="18"/>
  <c r="U28" i="18"/>
  <c r="U16" i="18"/>
  <c r="U162" i="18"/>
  <c r="U148" i="18"/>
  <c r="U135" i="18"/>
  <c r="U123" i="18"/>
  <c r="U111" i="18"/>
  <c r="U99" i="18"/>
  <c r="U87" i="18"/>
  <c r="U75" i="18"/>
  <c r="U63" i="18"/>
  <c r="U51" i="18"/>
  <c r="U39" i="18"/>
  <c r="U27" i="18"/>
  <c r="U15" i="18"/>
  <c r="U161" i="18"/>
  <c r="U146" i="18"/>
  <c r="U134" i="18"/>
  <c r="U122" i="18"/>
  <c r="U110" i="18"/>
  <c r="U98" i="18"/>
  <c r="U86" i="18"/>
  <c r="U74" i="18"/>
  <c r="U62" i="18"/>
  <c r="U50" i="18"/>
  <c r="U38" i="18"/>
  <c r="U26" i="18"/>
  <c r="U14" i="18"/>
  <c r="U160" i="18"/>
  <c r="U145" i="18"/>
  <c r="U133" i="18"/>
  <c r="U121" i="18"/>
  <c r="U109" i="18"/>
  <c r="U97" i="18"/>
  <c r="U85" i="18"/>
  <c r="U73" i="18"/>
  <c r="U61" i="18"/>
  <c r="U49" i="18"/>
  <c r="U37" i="18"/>
  <c r="U25" i="18"/>
  <c r="U13" i="18"/>
  <c r="U147" i="18"/>
  <c r="U158" i="18"/>
  <c r="U107" i="18"/>
  <c r="U47" i="18"/>
  <c r="U130" i="18"/>
  <c r="U70" i="18"/>
  <c r="U10" i="18"/>
  <c r="U168" i="18"/>
  <c r="U156" i="18"/>
  <c r="U141" i="18"/>
  <c r="U129" i="18"/>
  <c r="U117" i="18"/>
  <c r="U105" i="18"/>
  <c r="U93" i="18"/>
  <c r="U81" i="18"/>
  <c r="U69" i="18"/>
  <c r="U57" i="18"/>
  <c r="U45" i="18"/>
  <c r="U33" i="18"/>
  <c r="U21" i="18"/>
  <c r="U9" i="18"/>
  <c r="U5" i="18"/>
  <c r="U143" i="18"/>
  <c r="U71" i="18"/>
  <c r="U23" i="18"/>
  <c r="U106" i="18"/>
  <c r="U46" i="18"/>
  <c r="U167" i="18"/>
  <c r="U153" i="18"/>
  <c r="U140" i="18"/>
  <c r="U128" i="18"/>
  <c r="U116" i="18"/>
  <c r="U104" i="18"/>
  <c r="U92" i="18"/>
  <c r="U80" i="18"/>
  <c r="U68" i="18"/>
  <c r="U56" i="18"/>
  <c r="U44" i="18"/>
  <c r="U32" i="18"/>
  <c r="U20" i="18"/>
  <c r="U8" i="18"/>
  <c r="U119" i="18"/>
  <c r="U95" i="18"/>
  <c r="U59" i="18"/>
  <c r="U11" i="18"/>
  <c r="U142" i="18"/>
  <c r="U94" i="18"/>
  <c r="U58" i="18"/>
  <c r="U22" i="18"/>
  <c r="U166" i="18"/>
  <c r="U152" i="18"/>
  <c r="U139" i="18"/>
  <c r="U127" i="18"/>
  <c r="U115" i="18"/>
  <c r="U103" i="18"/>
  <c r="U91" i="18"/>
  <c r="U79" i="18"/>
  <c r="U67" i="18"/>
  <c r="U55" i="18"/>
  <c r="U43" i="18"/>
  <c r="U31" i="18"/>
  <c r="U19" i="18"/>
  <c r="U7" i="18"/>
  <c r="U131" i="18"/>
  <c r="U83" i="18"/>
  <c r="U35" i="18"/>
  <c r="U157" i="18"/>
  <c r="U118" i="18"/>
  <c r="U82" i="18"/>
  <c r="U34" i="18"/>
  <c r="U54" i="18"/>
  <c r="U42" i="18"/>
  <c r="U30" i="18"/>
  <c r="U18" i="18"/>
  <c r="U6" i="18"/>
  <c r="R6" i="21" l="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" i="21"/>
  <c r="T38" i="21" l="1"/>
  <c r="T11" i="21"/>
  <c r="T24" i="21"/>
  <c r="T35" i="21"/>
  <c r="T23" i="21"/>
  <c r="T50" i="21"/>
  <c r="T12" i="21"/>
  <c r="T47" i="21"/>
  <c r="T45" i="21"/>
  <c r="T10" i="21"/>
  <c r="T33" i="21"/>
  <c r="T32" i="21"/>
  <c r="T19" i="21"/>
  <c r="T30" i="21"/>
  <c r="T40" i="21"/>
  <c r="T28" i="21"/>
  <c r="T16" i="21"/>
  <c r="T46" i="21"/>
  <c r="T9" i="21"/>
  <c r="T8" i="21"/>
  <c r="T43" i="21"/>
  <c r="T6" i="21"/>
  <c r="T41" i="21"/>
  <c r="T5" i="21"/>
  <c r="T15" i="21"/>
  <c r="T34" i="21"/>
  <c r="T44" i="21"/>
  <c r="T7" i="21"/>
  <c r="T42" i="21"/>
  <c r="T29" i="21"/>
  <c r="T39" i="21"/>
  <c r="T22" i="21"/>
  <c r="T21" i="21"/>
  <c r="T20" i="21"/>
  <c r="T31" i="21"/>
  <c r="T18" i="21"/>
  <c r="T17" i="21"/>
  <c r="T27" i="21"/>
  <c r="T26" i="21"/>
  <c r="T49" i="21"/>
  <c r="T37" i="21"/>
  <c r="T25" i="21"/>
  <c r="T13" i="21"/>
  <c r="T48" i="21"/>
  <c r="T36" i="21"/>
  <c r="T14" i="21"/>
  <c r="P6" i="21"/>
  <c r="S6" i="21" s="1"/>
  <c r="P7" i="21"/>
  <c r="S7" i="21" s="1"/>
  <c r="P8" i="21"/>
  <c r="S8" i="21" s="1"/>
  <c r="P9" i="21"/>
  <c r="S9" i="21" s="1"/>
  <c r="P10" i="21"/>
  <c r="S10" i="21" s="1"/>
  <c r="P11" i="21"/>
  <c r="S11" i="21" s="1"/>
  <c r="P12" i="21"/>
  <c r="S12" i="21" s="1"/>
  <c r="P13" i="21"/>
  <c r="S13" i="21" s="1"/>
  <c r="P14" i="21"/>
  <c r="S14" i="21" s="1"/>
  <c r="P15" i="21"/>
  <c r="S15" i="21" s="1"/>
  <c r="P16" i="21"/>
  <c r="S16" i="21" s="1"/>
  <c r="P17" i="21"/>
  <c r="S17" i="21" s="1"/>
  <c r="P18" i="21"/>
  <c r="S18" i="21" s="1"/>
  <c r="P19" i="21"/>
  <c r="S19" i="21" s="1"/>
  <c r="P20" i="21"/>
  <c r="S20" i="21" s="1"/>
  <c r="P21" i="21"/>
  <c r="S21" i="21" s="1"/>
  <c r="P22" i="21"/>
  <c r="S22" i="21" s="1"/>
  <c r="P23" i="21"/>
  <c r="S23" i="21" s="1"/>
  <c r="P24" i="21"/>
  <c r="S24" i="21" s="1"/>
  <c r="P25" i="21"/>
  <c r="S25" i="21" s="1"/>
  <c r="P26" i="21"/>
  <c r="S26" i="21" s="1"/>
  <c r="P27" i="21"/>
  <c r="S27" i="21" s="1"/>
  <c r="P28" i="21"/>
  <c r="S28" i="21" s="1"/>
  <c r="P29" i="21"/>
  <c r="S29" i="21" s="1"/>
  <c r="P30" i="21"/>
  <c r="S30" i="21" s="1"/>
  <c r="P31" i="21"/>
  <c r="S31" i="21" s="1"/>
  <c r="P32" i="21"/>
  <c r="S32" i="21" s="1"/>
  <c r="P33" i="21"/>
  <c r="S33" i="21" s="1"/>
  <c r="P34" i="21"/>
  <c r="S34" i="21" s="1"/>
  <c r="P35" i="21"/>
  <c r="S35" i="21" s="1"/>
  <c r="P36" i="21"/>
  <c r="S36" i="21" s="1"/>
  <c r="P37" i="21"/>
  <c r="S37" i="21" s="1"/>
  <c r="P38" i="21"/>
  <c r="S38" i="21" s="1"/>
  <c r="P39" i="21"/>
  <c r="S39" i="21" s="1"/>
  <c r="P40" i="21"/>
  <c r="S40" i="21" s="1"/>
  <c r="P41" i="21"/>
  <c r="S41" i="21" s="1"/>
  <c r="P42" i="21"/>
  <c r="S42" i="21" s="1"/>
  <c r="P43" i="21"/>
  <c r="S43" i="21" s="1"/>
  <c r="P44" i="21"/>
  <c r="S44" i="21" s="1"/>
  <c r="P45" i="21"/>
  <c r="S45" i="21" s="1"/>
  <c r="P46" i="21"/>
  <c r="S46" i="21" s="1"/>
  <c r="P47" i="21"/>
  <c r="S47" i="21" s="1"/>
  <c r="P48" i="21"/>
  <c r="S48" i="21" s="1"/>
  <c r="P49" i="21"/>
  <c r="S49" i="21" s="1"/>
  <c r="P50" i="21"/>
  <c r="S50" i="21" s="1"/>
  <c r="P5" i="21"/>
  <c r="S5" i="21" s="1"/>
  <c r="K6" i="21"/>
  <c r="N6" i="21" s="1"/>
  <c r="K7" i="21"/>
  <c r="N7" i="21" s="1"/>
  <c r="K8" i="21"/>
  <c r="N8" i="21" s="1"/>
  <c r="K9" i="21"/>
  <c r="N9" i="21" s="1"/>
  <c r="K10" i="21"/>
  <c r="N10" i="21" s="1"/>
  <c r="K11" i="21"/>
  <c r="N11" i="21" s="1"/>
  <c r="K12" i="21"/>
  <c r="N12" i="21" s="1"/>
  <c r="K13" i="21"/>
  <c r="N13" i="21" s="1"/>
  <c r="K14" i="21"/>
  <c r="N14" i="21" s="1"/>
  <c r="K15" i="21"/>
  <c r="N15" i="21" s="1"/>
  <c r="K16" i="21"/>
  <c r="N16" i="21" s="1"/>
  <c r="K17" i="21"/>
  <c r="N17" i="21" s="1"/>
  <c r="K18" i="21"/>
  <c r="N18" i="21" s="1"/>
  <c r="K19" i="21"/>
  <c r="N19" i="21" s="1"/>
  <c r="K20" i="21"/>
  <c r="N20" i="21" s="1"/>
  <c r="K21" i="21"/>
  <c r="N21" i="21" s="1"/>
  <c r="K22" i="21"/>
  <c r="N22" i="21" s="1"/>
  <c r="K23" i="21"/>
  <c r="N23" i="21" s="1"/>
  <c r="K24" i="21"/>
  <c r="N24" i="21" s="1"/>
  <c r="K25" i="21"/>
  <c r="N25" i="21" s="1"/>
  <c r="K26" i="21"/>
  <c r="N26" i="21" s="1"/>
  <c r="K27" i="21"/>
  <c r="N27" i="21" s="1"/>
  <c r="K28" i="21"/>
  <c r="N28" i="21" s="1"/>
  <c r="K29" i="21"/>
  <c r="N29" i="21" s="1"/>
  <c r="K30" i="21"/>
  <c r="N30" i="21" s="1"/>
  <c r="K31" i="21"/>
  <c r="N31" i="21" s="1"/>
  <c r="K32" i="21"/>
  <c r="N32" i="21" s="1"/>
  <c r="U32" i="21" s="1"/>
  <c r="K33" i="21"/>
  <c r="N33" i="21" s="1"/>
  <c r="K34" i="21"/>
  <c r="N34" i="21" s="1"/>
  <c r="K35" i="21"/>
  <c r="N35" i="21" s="1"/>
  <c r="K36" i="21"/>
  <c r="N36" i="21" s="1"/>
  <c r="K37" i="21"/>
  <c r="N37" i="21" s="1"/>
  <c r="K38" i="21"/>
  <c r="N38" i="21" s="1"/>
  <c r="K39" i="21"/>
  <c r="N39" i="21" s="1"/>
  <c r="K40" i="21"/>
  <c r="N40" i="21" s="1"/>
  <c r="K41" i="21"/>
  <c r="N41" i="21" s="1"/>
  <c r="K42" i="21"/>
  <c r="N42" i="21" s="1"/>
  <c r="K43" i="21"/>
  <c r="N43" i="21" s="1"/>
  <c r="K44" i="21"/>
  <c r="N44" i="21" s="1"/>
  <c r="U44" i="21" s="1"/>
  <c r="K45" i="21"/>
  <c r="N45" i="21" s="1"/>
  <c r="K46" i="21"/>
  <c r="N46" i="21" s="1"/>
  <c r="K47" i="21"/>
  <c r="N47" i="21" s="1"/>
  <c r="K48" i="21"/>
  <c r="N48" i="21" s="1"/>
  <c r="K49" i="21"/>
  <c r="N49" i="21" s="1"/>
  <c r="K50" i="21"/>
  <c r="N50" i="21" s="1"/>
  <c r="K5" i="21"/>
  <c r="N5" i="21" s="1"/>
  <c r="U42" i="21" l="1"/>
  <c r="U17" i="21"/>
  <c r="U15" i="21"/>
  <c r="U29" i="21"/>
  <c r="U27" i="21"/>
  <c r="U40" i="21"/>
  <c r="U39" i="21"/>
  <c r="U38" i="21"/>
  <c r="U37" i="21"/>
  <c r="U36" i="21"/>
  <c r="U22" i="21"/>
  <c r="U10" i="21"/>
  <c r="U50" i="21"/>
  <c r="U25" i="21"/>
  <c r="U48" i="21"/>
  <c r="U11" i="21"/>
  <c r="U45" i="21"/>
  <c r="U9" i="21"/>
  <c r="U28" i="21"/>
  <c r="U26" i="21"/>
  <c r="U49" i="21"/>
  <c r="U34" i="21"/>
  <c r="U21" i="21"/>
  <c r="U20" i="21"/>
  <c r="U8" i="21"/>
  <c r="U16" i="21"/>
  <c r="U14" i="21"/>
  <c r="U13" i="21"/>
  <c r="U23" i="21"/>
  <c r="U46" i="21"/>
  <c r="U33" i="21"/>
  <c r="U43" i="21"/>
  <c r="U31" i="21"/>
  <c r="U19" i="21"/>
  <c r="U7" i="21"/>
  <c r="U47" i="21"/>
  <c r="U35" i="21"/>
  <c r="U24" i="21"/>
  <c r="U12" i="21"/>
  <c r="U5" i="21"/>
  <c r="U41" i="21"/>
  <c r="U30" i="21"/>
  <c r="U18" i="21"/>
  <c r="U6" i="21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5" i="17"/>
  <c r="M6" i="17"/>
  <c r="M7" i="17"/>
  <c r="M8" i="17"/>
  <c r="M9" i="17"/>
  <c r="M10" i="17"/>
  <c r="M11" i="17"/>
  <c r="M12" i="17"/>
  <c r="M13" i="17"/>
  <c r="M14" i="17"/>
  <c r="T14" i="17" s="1"/>
  <c r="M15" i="17"/>
  <c r="M16" i="17"/>
  <c r="M17" i="17"/>
  <c r="M18" i="17"/>
  <c r="M19" i="17"/>
  <c r="M20" i="17"/>
  <c r="M21" i="17"/>
  <c r="M22" i="17"/>
  <c r="M23" i="17"/>
  <c r="M24" i="17"/>
  <c r="M25" i="17"/>
  <c r="M26" i="17"/>
  <c r="T26" i="17" s="1"/>
  <c r="M27" i="17"/>
  <c r="M28" i="17"/>
  <c r="M29" i="17"/>
  <c r="M30" i="17"/>
  <c r="M31" i="17"/>
  <c r="M32" i="17"/>
  <c r="M33" i="17"/>
  <c r="M34" i="17"/>
  <c r="M35" i="17"/>
  <c r="M36" i="17"/>
  <c r="M37" i="17"/>
  <c r="M38" i="17"/>
  <c r="T38" i="17" s="1"/>
  <c r="M39" i="17"/>
  <c r="M40" i="17"/>
  <c r="M41" i="17"/>
  <c r="M42" i="17"/>
  <c r="M43" i="17"/>
  <c r="M44" i="17"/>
  <c r="M45" i="17"/>
  <c r="M46" i="17"/>
  <c r="M47" i="17"/>
  <c r="M48" i="17"/>
  <c r="M49" i="17"/>
  <c r="M50" i="17"/>
  <c r="T50" i="17" s="1"/>
  <c r="M51" i="17"/>
  <c r="M52" i="17"/>
  <c r="M53" i="17"/>
  <c r="M54" i="17"/>
  <c r="M55" i="17"/>
  <c r="M56" i="17"/>
  <c r="M57" i="17"/>
  <c r="M58" i="17"/>
  <c r="M59" i="17"/>
  <c r="M60" i="17"/>
  <c r="M61" i="17"/>
  <c r="M62" i="17"/>
  <c r="T62" i="17" s="1"/>
  <c r="M63" i="17"/>
  <c r="M64" i="17"/>
  <c r="M65" i="17"/>
  <c r="M66" i="17"/>
  <c r="M67" i="17"/>
  <c r="M68" i="17"/>
  <c r="M69" i="17"/>
  <c r="M70" i="17"/>
  <c r="M71" i="17"/>
  <c r="M72" i="17"/>
  <c r="M73" i="17"/>
  <c r="M74" i="17"/>
  <c r="T74" i="17" s="1"/>
  <c r="M75" i="17"/>
  <c r="M76" i="17"/>
  <c r="M77" i="17"/>
  <c r="M78" i="17"/>
  <c r="M79" i="17"/>
  <c r="M80" i="17"/>
  <c r="M81" i="17"/>
  <c r="M82" i="17"/>
  <c r="M83" i="17"/>
  <c r="M84" i="17"/>
  <c r="M85" i="17"/>
  <c r="M86" i="17"/>
  <c r="T86" i="17" s="1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T122" i="17" s="1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T134" i="17" s="1"/>
  <c r="M135" i="17"/>
  <c r="M136" i="17"/>
  <c r="M137" i="17"/>
  <c r="M138" i="17"/>
  <c r="M139" i="17"/>
  <c r="M140" i="17"/>
  <c r="M141" i="17"/>
  <c r="M142" i="17"/>
  <c r="M143" i="17"/>
  <c r="M144" i="17"/>
  <c r="M145" i="17"/>
  <c r="T145" i="17" s="1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T157" i="17" s="1"/>
  <c r="M158" i="17"/>
  <c r="M159" i="17"/>
  <c r="M160" i="17"/>
  <c r="M161" i="17"/>
  <c r="M162" i="17"/>
  <c r="M163" i="17"/>
  <c r="M164" i="17"/>
  <c r="M5" i="17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4" i="16"/>
  <c r="M85" i="16"/>
  <c r="M86" i="16"/>
  <c r="M87" i="16"/>
  <c r="M88" i="16"/>
  <c r="T88" i="16" s="1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T150" i="16" s="1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T162" i="16" s="1"/>
  <c r="M163" i="16"/>
  <c r="M164" i="16"/>
  <c r="M165" i="16"/>
  <c r="M166" i="16"/>
  <c r="M167" i="16"/>
  <c r="M168" i="16"/>
  <c r="M169" i="16"/>
  <c r="M170" i="16"/>
  <c r="M171" i="16"/>
  <c r="M172" i="16"/>
  <c r="M173" i="16"/>
  <c r="M174" i="16"/>
  <c r="T174" i="16" s="1"/>
  <c r="M175" i="16"/>
  <c r="M176" i="16"/>
  <c r="M177" i="16"/>
  <c r="M178" i="16"/>
  <c r="M5" i="16"/>
  <c r="T138" i="16" l="1"/>
  <c r="T135" i="16"/>
  <c r="T123" i="16"/>
  <c r="T111" i="16"/>
  <c r="T99" i="16"/>
  <c r="T49" i="16"/>
  <c r="T37" i="16"/>
  <c r="T25" i="16"/>
  <c r="T13" i="16"/>
  <c r="T96" i="16"/>
  <c r="T10" i="16"/>
  <c r="T120" i="16"/>
  <c r="T84" i="16"/>
  <c r="T58" i="16"/>
  <c r="T34" i="16"/>
  <c r="T153" i="16"/>
  <c r="T131" i="16"/>
  <c r="T119" i="16"/>
  <c r="T107" i="16"/>
  <c r="T95" i="16"/>
  <c r="T83" i="16"/>
  <c r="T69" i="16"/>
  <c r="T45" i="16"/>
  <c r="T33" i="16"/>
  <c r="T21" i="16"/>
  <c r="T9" i="16"/>
  <c r="T108" i="16"/>
  <c r="T46" i="16"/>
  <c r="T22" i="16"/>
  <c r="T165" i="16"/>
  <c r="T141" i="16"/>
  <c r="T176" i="16"/>
  <c r="T164" i="16"/>
  <c r="T152" i="16"/>
  <c r="T140" i="16"/>
  <c r="T130" i="16"/>
  <c r="T118" i="16"/>
  <c r="T106" i="16"/>
  <c r="T94" i="16"/>
  <c r="T82" i="16"/>
  <c r="T68" i="16"/>
  <c r="T56" i="16"/>
  <c r="T44" i="16"/>
  <c r="T32" i="16"/>
  <c r="T20" i="16"/>
  <c r="T8" i="16"/>
  <c r="T175" i="16"/>
  <c r="T167" i="16"/>
  <c r="T163" i="16"/>
  <c r="T155" i="16"/>
  <c r="T151" i="16"/>
  <c r="T143" i="16"/>
  <c r="T139" i="16"/>
  <c r="T133" i="16"/>
  <c r="T121" i="16"/>
  <c r="T109" i="16"/>
  <c r="T97" i="16"/>
  <c r="T85" i="16"/>
  <c r="T47" i="16"/>
  <c r="T35" i="16"/>
  <c r="T23" i="16"/>
  <c r="T11" i="16"/>
  <c r="T177" i="16"/>
  <c r="T110" i="17"/>
  <c r="T98" i="17"/>
  <c r="T132" i="16"/>
  <c r="T87" i="16"/>
  <c r="T61" i="16"/>
  <c r="T59" i="16"/>
  <c r="T57" i="16"/>
  <c r="T75" i="16"/>
  <c r="T73" i="16"/>
  <c r="T72" i="16"/>
  <c r="T5" i="17"/>
  <c r="T57" i="17"/>
  <c r="T79" i="17"/>
  <c r="T7" i="17"/>
  <c r="T93" i="17"/>
  <c r="T33" i="17"/>
  <c r="T138" i="17"/>
  <c r="T115" i="17"/>
  <c r="T67" i="17"/>
  <c r="T19" i="17"/>
  <c r="T160" i="17"/>
  <c r="T148" i="17"/>
  <c r="T136" i="17"/>
  <c r="T125" i="17"/>
  <c r="T113" i="17"/>
  <c r="T101" i="17"/>
  <c r="T89" i="17"/>
  <c r="T77" i="17"/>
  <c r="T65" i="17"/>
  <c r="T53" i="17"/>
  <c r="T41" i="17"/>
  <c r="T29" i="17"/>
  <c r="T17" i="17"/>
  <c r="T117" i="17"/>
  <c r="T81" i="17"/>
  <c r="T45" i="17"/>
  <c r="T9" i="17"/>
  <c r="T163" i="17"/>
  <c r="T127" i="17"/>
  <c r="T91" i="17"/>
  <c r="T43" i="17"/>
  <c r="T159" i="17"/>
  <c r="T147" i="17"/>
  <c r="T135" i="17"/>
  <c r="T124" i="17"/>
  <c r="T112" i="17"/>
  <c r="T100" i="17"/>
  <c r="T88" i="17"/>
  <c r="T76" i="17"/>
  <c r="T64" i="17"/>
  <c r="T52" i="17"/>
  <c r="T40" i="17"/>
  <c r="T28" i="17"/>
  <c r="T16" i="17"/>
  <c r="T105" i="17"/>
  <c r="T69" i="17"/>
  <c r="T21" i="17"/>
  <c r="T150" i="17"/>
  <c r="T103" i="17"/>
  <c r="T55" i="17"/>
  <c r="T31" i="17"/>
  <c r="T15" i="17"/>
  <c r="T154" i="17"/>
  <c r="T142" i="17"/>
  <c r="T131" i="17"/>
  <c r="T119" i="17"/>
  <c r="T107" i="17"/>
  <c r="T95" i="17"/>
  <c r="T83" i="17"/>
  <c r="T71" i="17"/>
  <c r="T59" i="17"/>
  <c r="T47" i="17"/>
  <c r="T35" i="17"/>
  <c r="T23" i="17"/>
  <c r="T11" i="17"/>
  <c r="T158" i="17"/>
  <c r="T146" i="17"/>
  <c r="T123" i="17"/>
  <c r="T111" i="17"/>
  <c r="T99" i="17"/>
  <c r="T87" i="17"/>
  <c r="T75" i="17"/>
  <c r="T63" i="17"/>
  <c r="T51" i="17"/>
  <c r="T39" i="17"/>
  <c r="T27" i="17"/>
  <c r="T162" i="17"/>
  <c r="T156" i="17"/>
  <c r="T144" i="17"/>
  <c r="T133" i="17"/>
  <c r="T121" i="17"/>
  <c r="T109" i="17"/>
  <c r="T97" i="17"/>
  <c r="T85" i="17"/>
  <c r="T73" i="17"/>
  <c r="T61" i="17"/>
  <c r="T49" i="17"/>
  <c r="T37" i="17"/>
  <c r="T25" i="17"/>
  <c r="T13" i="17"/>
  <c r="T164" i="17"/>
  <c r="T155" i="17"/>
  <c r="T143" i="17"/>
  <c r="T132" i="17"/>
  <c r="T120" i="17"/>
  <c r="T108" i="17"/>
  <c r="T96" i="17"/>
  <c r="T84" i="17"/>
  <c r="T72" i="17"/>
  <c r="T60" i="17"/>
  <c r="T48" i="17"/>
  <c r="T36" i="17"/>
  <c r="T24" i="17"/>
  <c r="T12" i="17"/>
  <c r="T178" i="16"/>
  <c r="T60" i="16"/>
  <c r="T48" i="16"/>
  <c r="T36" i="16"/>
  <c r="T24" i="16"/>
  <c r="T12" i="16"/>
  <c r="T52" i="16"/>
  <c r="T91" i="16"/>
  <c r="T29" i="16"/>
  <c r="T171" i="16"/>
  <c r="T115" i="16"/>
  <c r="T79" i="16"/>
  <c r="T126" i="16"/>
  <c r="T5" i="16"/>
  <c r="T159" i="16"/>
  <c r="T53" i="16"/>
  <c r="T158" i="16"/>
  <c r="T127" i="16"/>
  <c r="T41" i="16"/>
  <c r="T90" i="16"/>
  <c r="T103" i="16"/>
  <c r="T17" i="16"/>
  <c r="T147" i="16"/>
  <c r="T65" i="16"/>
  <c r="T169" i="16"/>
  <c r="T157" i="16"/>
  <c r="T145" i="16"/>
  <c r="T137" i="16"/>
  <c r="T125" i="16"/>
  <c r="T113" i="16"/>
  <c r="T101" i="16"/>
  <c r="T89" i="16"/>
  <c r="T77" i="16"/>
  <c r="T63" i="16"/>
  <c r="T51" i="16"/>
  <c r="T39" i="16"/>
  <c r="T27" i="16"/>
  <c r="T15" i="16"/>
  <c r="T168" i="16"/>
  <c r="T156" i="16"/>
  <c r="T144" i="16"/>
  <c r="T136" i="16"/>
  <c r="T124" i="16"/>
  <c r="T112" i="16"/>
  <c r="T100" i="16"/>
  <c r="T76" i="16"/>
  <c r="T62" i="16"/>
  <c r="T50" i="16"/>
  <c r="T38" i="16"/>
  <c r="T26" i="16"/>
  <c r="T14" i="16"/>
  <c r="T16" i="16"/>
  <c r="T172" i="16"/>
  <c r="T160" i="16"/>
  <c r="T128" i="16"/>
  <c r="T104" i="16"/>
  <c r="T92" i="16"/>
  <c r="T66" i="16"/>
  <c r="T54" i="16"/>
  <c r="T30" i="16"/>
  <c r="T18" i="16"/>
  <c r="T170" i="16"/>
  <c r="T146" i="16"/>
  <c r="T114" i="16"/>
  <c r="T102" i="16"/>
  <c r="T78" i="16"/>
  <c r="T64" i="16"/>
  <c r="T40" i="16"/>
  <c r="T28" i="16"/>
  <c r="T148" i="16"/>
  <c r="T116" i="16"/>
  <c r="T80" i="16"/>
  <c r="T42" i="16"/>
  <c r="T6" i="16"/>
  <c r="T166" i="16"/>
  <c r="T154" i="16"/>
  <c r="T142" i="16"/>
  <c r="T134" i="16"/>
  <c r="T122" i="16"/>
  <c r="T110" i="16"/>
  <c r="T98" i="16"/>
  <c r="T86" i="16"/>
  <c r="T74" i="16"/>
  <c r="T161" i="16"/>
  <c r="T117" i="16"/>
  <c r="T105" i="16"/>
  <c r="T81" i="16"/>
  <c r="T67" i="16"/>
  <c r="T55" i="16"/>
  <c r="T43" i="16"/>
  <c r="T19" i="16"/>
  <c r="T7" i="16"/>
  <c r="T173" i="16"/>
  <c r="T149" i="16"/>
  <c r="T129" i="16"/>
  <c r="T93" i="16"/>
  <c r="T31" i="16"/>
  <c r="T153" i="17"/>
  <c r="T141" i="17"/>
  <c r="T130" i="17"/>
  <c r="T118" i="17"/>
  <c r="T106" i="17"/>
  <c r="T94" i="17"/>
  <c r="T82" i="17"/>
  <c r="T70" i="17"/>
  <c r="T58" i="17"/>
  <c r="T46" i="17"/>
  <c r="T34" i="17"/>
  <c r="T22" i="17"/>
  <c r="T10" i="17"/>
  <c r="T152" i="17"/>
  <c r="T140" i="17"/>
  <c r="T129" i="17"/>
  <c r="T151" i="17"/>
  <c r="T139" i="17"/>
  <c r="T128" i="17"/>
  <c r="T116" i="17"/>
  <c r="T104" i="17"/>
  <c r="T92" i="17"/>
  <c r="T80" i="17"/>
  <c r="T68" i="17"/>
  <c r="T56" i="17"/>
  <c r="T44" i="17"/>
  <c r="T32" i="17"/>
  <c r="T20" i="17"/>
  <c r="T8" i="17"/>
  <c r="T161" i="17"/>
  <c r="T149" i="17"/>
  <c r="T137" i="17"/>
  <c r="T126" i="17"/>
  <c r="T114" i="17"/>
  <c r="T102" i="17"/>
  <c r="T90" i="17"/>
  <c r="T78" i="17"/>
  <c r="T66" i="17"/>
  <c r="T54" i="17"/>
  <c r="T42" i="17"/>
  <c r="T30" i="17"/>
  <c r="T18" i="17"/>
  <c r="T6" i="17"/>
  <c r="P6" i="17"/>
  <c r="S6" i="17" s="1"/>
  <c r="P7" i="17"/>
  <c r="S7" i="17" s="1"/>
  <c r="P8" i="17"/>
  <c r="S8" i="17" s="1"/>
  <c r="P9" i="17"/>
  <c r="S9" i="17" s="1"/>
  <c r="P10" i="17"/>
  <c r="S10" i="17" s="1"/>
  <c r="P11" i="17"/>
  <c r="S11" i="17" s="1"/>
  <c r="P12" i="17"/>
  <c r="S12" i="17" s="1"/>
  <c r="P13" i="17"/>
  <c r="S13" i="17" s="1"/>
  <c r="P14" i="17"/>
  <c r="S14" i="17" s="1"/>
  <c r="P15" i="17"/>
  <c r="S15" i="17" s="1"/>
  <c r="P16" i="17"/>
  <c r="S16" i="17" s="1"/>
  <c r="P17" i="17"/>
  <c r="S17" i="17" s="1"/>
  <c r="P18" i="17"/>
  <c r="S18" i="17" s="1"/>
  <c r="P19" i="17"/>
  <c r="S19" i="17" s="1"/>
  <c r="P20" i="17"/>
  <c r="S20" i="17" s="1"/>
  <c r="P21" i="17"/>
  <c r="S21" i="17" s="1"/>
  <c r="P22" i="17"/>
  <c r="S22" i="17" s="1"/>
  <c r="P23" i="17"/>
  <c r="S23" i="17" s="1"/>
  <c r="P24" i="17"/>
  <c r="S24" i="17" s="1"/>
  <c r="P25" i="17"/>
  <c r="S25" i="17" s="1"/>
  <c r="P26" i="17"/>
  <c r="S26" i="17" s="1"/>
  <c r="P27" i="17"/>
  <c r="S27" i="17" s="1"/>
  <c r="P28" i="17"/>
  <c r="S28" i="17" s="1"/>
  <c r="P29" i="17"/>
  <c r="S29" i="17" s="1"/>
  <c r="P30" i="17"/>
  <c r="S30" i="17" s="1"/>
  <c r="P31" i="17"/>
  <c r="S31" i="17" s="1"/>
  <c r="P32" i="17"/>
  <c r="S32" i="17" s="1"/>
  <c r="P33" i="17"/>
  <c r="S33" i="17" s="1"/>
  <c r="P34" i="17"/>
  <c r="S34" i="17" s="1"/>
  <c r="P35" i="17"/>
  <c r="S35" i="17" s="1"/>
  <c r="P36" i="17"/>
  <c r="S36" i="17" s="1"/>
  <c r="P37" i="17"/>
  <c r="S37" i="17" s="1"/>
  <c r="P38" i="17"/>
  <c r="S38" i="17" s="1"/>
  <c r="P39" i="17"/>
  <c r="S39" i="17" s="1"/>
  <c r="P40" i="17"/>
  <c r="S40" i="17" s="1"/>
  <c r="P41" i="17"/>
  <c r="S41" i="17" s="1"/>
  <c r="P42" i="17"/>
  <c r="S42" i="17" s="1"/>
  <c r="P43" i="17"/>
  <c r="S43" i="17" s="1"/>
  <c r="P44" i="17"/>
  <c r="S44" i="17" s="1"/>
  <c r="P45" i="17"/>
  <c r="S45" i="17" s="1"/>
  <c r="P46" i="17"/>
  <c r="S46" i="17" s="1"/>
  <c r="P47" i="17"/>
  <c r="S47" i="17" s="1"/>
  <c r="P48" i="17"/>
  <c r="S48" i="17" s="1"/>
  <c r="P49" i="17"/>
  <c r="S49" i="17" s="1"/>
  <c r="P50" i="17"/>
  <c r="S50" i="17" s="1"/>
  <c r="P51" i="17"/>
  <c r="S51" i="17" s="1"/>
  <c r="P52" i="17"/>
  <c r="S52" i="17" s="1"/>
  <c r="P53" i="17"/>
  <c r="S53" i="17" s="1"/>
  <c r="P54" i="17"/>
  <c r="S54" i="17" s="1"/>
  <c r="P55" i="17"/>
  <c r="S55" i="17" s="1"/>
  <c r="P56" i="17"/>
  <c r="S56" i="17" s="1"/>
  <c r="P57" i="17"/>
  <c r="S57" i="17" s="1"/>
  <c r="P58" i="17"/>
  <c r="S58" i="17" s="1"/>
  <c r="P59" i="17"/>
  <c r="S59" i="17" s="1"/>
  <c r="P60" i="17"/>
  <c r="S60" i="17" s="1"/>
  <c r="P61" i="17"/>
  <c r="S61" i="17" s="1"/>
  <c r="P62" i="17"/>
  <c r="S62" i="17" s="1"/>
  <c r="P63" i="17"/>
  <c r="S63" i="17" s="1"/>
  <c r="P64" i="17"/>
  <c r="S64" i="17" s="1"/>
  <c r="P65" i="17"/>
  <c r="S65" i="17" s="1"/>
  <c r="P66" i="17"/>
  <c r="S66" i="17" s="1"/>
  <c r="P67" i="17"/>
  <c r="S67" i="17" s="1"/>
  <c r="P68" i="17"/>
  <c r="S68" i="17" s="1"/>
  <c r="P69" i="17"/>
  <c r="S69" i="17" s="1"/>
  <c r="P70" i="17"/>
  <c r="S70" i="17" s="1"/>
  <c r="P71" i="17"/>
  <c r="S71" i="17" s="1"/>
  <c r="P72" i="17"/>
  <c r="S72" i="17" s="1"/>
  <c r="P73" i="17"/>
  <c r="S73" i="17" s="1"/>
  <c r="P74" i="17"/>
  <c r="S74" i="17" s="1"/>
  <c r="P75" i="17"/>
  <c r="S75" i="17" s="1"/>
  <c r="P76" i="17"/>
  <c r="S76" i="17" s="1"/>
  <c r="P77" i="17"/>
  <c r="S77" i="17" s="1"/>
  <c r="P78" i="17"/>
  <c r="S78" i="17" s="1"/>
  <c r="P79" i="17"/>
  <c r="S79" i="17" s="1"/>
  <c r="P80" i="17"/>
  <c r="S80" i="17" s="1"/>
  <c r="P81" i="17"/>
  <c r="S81" i="17" s="1"/>
  <c r="P82" i="17"/>
  <c r="S82" i="17" s="1"/>
  <c r="P83" i="17"/>
  <c r="S83" i="17" s="1"/>
  <c r="P84" i="17"/>
  <c r="S84" i="17" s="1"/>
  <c r="P85" i="17"/>
  <c r="S85" i="17" s="1"/>
  <c r="P86" i="17"/>
  <c r="S86" i="17" s="1"/>
  <c r="P87" i="17"/>
  <c r="S87" i="17" s="1"/>
  <c r="P88" i="17"/>
  <c r="S88" i="17" s="1"/>
  <c r="P89" i="17"/>
  <c r="S89" i="17" s="1"/>
  <c r="P90" i="17"/>
  <c r="S90" i="17" s="1"/>
  <c r="P91" i="17"/>
  <c r="S91" i="17" s="1"/>
  <c r="P92" i="17"/>
  <c r="S92" i="17" s="1"/>
  <c r="P93" i="17"/>
  <c r="S93" i="17" s="1"/>
  <c r="P94" i="17"/>
  <c r="S94" i="17" s="1"/>
  <c r="P95" i="17"/>
  <c r="S95" i="17" s="1"/>
  <c r="P96" i="17"/>
  <c r="S96" i="17" s="1"/>
  <c r="P97" i="17"/>
  <c r="S97" i="17" s="1"/>
  <c r="P98" i="17"/>
  <c r="S98" i="17" s="1"/>
  <c r="P99" i="17"/>
  <c r="S99" i="17" s="1"/>
  <c r="P100" i="17"/>
  <c r="S100" i="17" s="1"/>
  <c r="P101" i="17"/>
  <c r="S101" i="17" s="1"/>
  <c r="P102" i="17"/>
  <c r="S102" i="17" s="1"/>
  <c r="P103" i="17"/>
  <c r="S103" i="17" s="1"/>
  <c r="P104" i="17"/>
  <c r="S104" i="17" s="1"/>
  <c r="P105" i="17"/>
  <c r="S105" i="17" s="1"/>
  <c r="P106" i="17"/>
  <c r="S106" i="17" s="1"/>
  <c r="P107" i="17"/>
  <c r="S107" i="17" s="1"/>
  <c r="P108" i="17"/>
  <c r="S108" i="17" s="1"/>
  <c r="P109" i="17"/>
  <c r="S109" i="17" s="1"/>
  <c r="P110" i="17"/>
  <c r="S110" i="17" s="1"/>
  <c r="P111" i="17"/>
  <c r="S111" i="17" s="1"/>
  <c r="P112" i="17"/>
  <c r="S112" i="17" s="1"/>
  <c r="P113" i="17"/>
  <c r="S113" i="17" s="1"/>
  <c r="P114" i="17"/>
  <c r="S114" i="17" s="1"/>
  <c r="P115" i="17"/>
  <c r="S115" i="17" s="1"/>
  <c r="P116" i="17"/>
  <c r="S116" i="17" s="1"/>
  <c r="P117" i="17"/>
  <c r="S117" i="17" s="1"/>
  <c r="P118" i="17"/>
  <c r="S118" i="17" s="1"/>
  <c r="P119" i="17"/>
  <c r="S119" i="17" s="1"/>
  <c r="P120" i="17"/>
  <c r="S120" i="17" s="1"/>
  <c r="P121" i="17"/>
  <c r="S121" i="17" s="1"/>
  <c r="P122" i="17"/>
  <c r="S122" i="17" s="1"/>
  <c r="P123" i="17"/>
  <c r="S123" i="17" s="1"/>
  <c r="P124" i="17"/>
  <c r="S124" i="17" s="1"/>
  <c r="P125" i="17"/>
  <c r="S125" i="17" s="1"/>
  <c r="P126" i="17"/>
  <c r="S126" i="17" s="1"/>
  <c r="P127" i="17"/>
  <c r="S127" i="17" s="1"/>
  <c r="P128" i="17"/>
  <c r="S128" i="17" s="1"/>
  <c r="P129" i="17"/>
  <c r="S129" i="17" s="1"/>
  <c r="P130" i="17"/>
  <c r="S130" i="17" s="1"/>
  <c r="P131" i="17"/>
  <c r="S131" i="17" s="1"/>
  <c r="P132" i="17"/>
  <c r="S132" i="17" s="1"/>
  <c r="P133" i="17"/>
  <c r="S133" i="17" s="1"/>
  <c r="P134" i="17"/>
  <c r="S134" i="17" s="1"/>
  <c r="P135" i="17"/>
  <c r="S135" i="17" s="1"/>
  <c r="P136" i="17"/>
  <c r="S136" i="17" s="1"/>
  <c r="P137" i="17"/>
  <c r="S137" i="17" s="1"/>
  <c r="P138" i="17"/>
  <c r="S138" i="17" s="1"/>
  <c r="P139" i="17"/>
  <c r="S139" i="17" s="1"/>
  <c r="P140" i="17"/>
  <c r="S140" i="17" s="1"/>
  <c r="P141" i="17"/>
  <c r="S141" i="17" s="1"/>
  <c r="P142" i="17"/>
  <c r="S142" i="17" s="1"/>
  <c r="P143" i="17"/>
  <c r="S143" i="17" s="1"/>
  <c r="P144" i="17"/>
  <c r="S144" i="17" s="1"/>
  <c r="P145" i="17"/>
  <c r="S145" i="17" s="1"/>
  <c r="P146" i="17"/>
  <c r="S146" i="17" s="1"/>
  <c r="P147" i="17"/>
  <c r="S147" i="17" s="1"/>
  <c r="P148" i="17"/>
  <c r="S148" i="17" s="1"/>
  <c r="P149" i="17"/>
  <c r="S149" i="17" s="1"/>
  <c r="P150" i="17"/>
  <c r="S150" i="17" s="1"/>
  <c r="P151" i="17"/>
  <c r="S151" i="17" s="1"/>
  <c r="P152" i="17"/>
  <c r="S152" i="17" s="1"/>
  <c r="P153" i="17"/>
  <c r="S153" i="17" s="1"/>
  <c r="P154" i="17"/>
  <c r="S154" i="17" s="1"/>
  <c r="P155" i="17"/>
  <c r="S155" i="17" s="1"/>
  <c r="P156" i="17"/>
  <c r="S156" i="17" s="1"/>
  <c r="P157" i="17"/>
  <c r="S157" i="17" s="1"/>
  <c r="P158" i="17"/>
  <c r="S158" i="17" s="1"/>
  <c r="P159" i="17"/>
  <c r="S159" i="17" s="1"/>
  <c r="P160" i="17"/>
  <c r="S160" i="17" s="1"/>
  <c r="P161" i="17"/>
  <c r="S161" i="17" s="1"/>
  <c r="P162" i="17"/>
  <c r="S162" i="17" s="1"/>
  <c r="P163" i="17"/>
  <c r="S163" i="17" s="1"/>
  <c r="P164" i="17"/>
  <c r="S164" i="17" s="1"/>
  <c r="P5" i="17"/>
  <c r="S5" i="17" s="1"/>
  <c r="K6" i="17"/>
  <c r="N6" i="17" s="1"/>
  <c r="K7" i="17"/>
  <c r="N7" i="17" s="1"/>
  <c r="K8" i="17"/>
  <c r="N8" i="17" s="1"/>
  <c r="K9" i="17"/>
  <c r="N9" i="17" s="1"/>
  <c r="K10" i="17"/>
  <c r="N10" i="17" s="1"/>
  <c r="K11" i="17"/>
  <c r="N11" i="17" s="1"/>
  <c r="K12" i="17"/>
  <c r="N12" i="17" s="1"/>
  <c r="K13" i="17"/>
  <c r="N13" i="17" s="1"/>
  <c r="K14" i="17"/>
  <c r="N14" i="17" s="1"/>
  <c r="K15" i="17"/>
  <c r="N15" i="17" s="1"/>
  <c r="K16" i="17"/>
  <c r="N16" i="17" s="1"/>
  <c r="K17" i="17"/>
  <c r="N17" i="17" s="1"/>
  <c r="K18" i="17"/>
  <c r="N18" i="17" s="1"/>
  <c r="K19" i="17"/>
  <c r="N19" i="17" s="1"/>
  <c r="K20" i="17"/>
  <c r="N20" i="17" s="1"/>
  <c r="K21" i="17"/>
  <c r="N21" i="17" s="1"/>
  <c r="K22" i="17"/>
  <c r="N22" i="17" s="1"/>
  <c r="K23" i="17"/>
  <c r="N23" i="17" s="1"/>
  <c r="K24" i="17"/>
  <c r="N24" i="17" s="1"/>
  <c r="K25" i="17"/>
  <c r="N25" i="17" s="1"/>
  <c r="K26" i="17"/>
  <c r="N26" i="17" s="1"/>
  <c r="K27" i="17"/>
  <c r="N27" i="17" s="1"/>
  <c r="K28" i="17"/>
  <c r="N28" i="17" s="1"/>
  <c r="K29" i="17"/>
  <c r="N29" i="17" s="1"/>
  <c r="K30" i="17"/>
  <c r="N30" i="17" s="1"/>
  <c r="K31" i="17"/>
  <c r="N31" i="17" s="1"/>
  <c r="K32" i="17"/>
  <c r="N32" i="17" s="1"/>
  <c r="K33" i="17"/>
  <c r="N33" i="17" s="1"/>
  <c r="K34" i="17"/>
  <c r="N34" i="17" s="1"/>
  <c r="K35" i="17"/>
  <c r="N35" i="17" s="1"/>
  <c r="K36" i="17"/>
  <c r="N36" i="17" s="1"/>
  <c r="K37" i="17"/>
  <c r="N37" i="17" s="1"/>
  <c r="K38" i="17"/>
  <c r="N38" i="17" s="1"/>
  <c r="K39" i="17"/>
  <c r="N39" i="17" s="1"/>
  <c r="K40" i="17"/>
  <c r="N40" i="17" s="1"/>
  <c r="K41" i="17"/>
  <c r="N41" i="17" s="1"/>
  <c r="K42" i="17"/>
  <c r="N42" i="17" s="1"/>
  <c r="K43" i="17"/>
  <c r="N43" i="17" s="1"/>
  <c r="K44" i="17"/>
  <c r="N44" i="17" s="1"/>
  <c r="K45" i="17"/>
  <c r="N45" i="17" s="1"/>
  <c r="K46" i="17"/>
  <c r="N46" i="17" s="1"/>
  <c r="K47" i="17"/>
  <c r="N47" i="17" s="1"/>
  <c r="K48" i="17"/>
  <c r="N48" i="17" s="1"/>
  <c r="K49" i="17"/>
  <c r="N49" i="17" s="1"/>
  <c r="K50" i="17"/>
  <c r="N50" i="17" s="1"/>
  <c r="K51" i="17"/>
  <c r="N51" i="17" s="1"/>
  <c r="K52" i="17"/>
  <c r="N52" i="17" s="1"/>
  <c r="K53" i="17"/>
  <c r="N53" i="17" s="1"/>
  <c r="K54" i="17"/>
  <c r="N54" i="17" s="1"/>
  <c r="K55" i="17"/>
  <c r="N55" i="17" s="1"/>
  <c r="K56" i="17"/>
  <c r="N56" i="17" s="1"/>
  <c r="K57" i="17"/>
  <c r="N57" i="17" s="1"/>
  <c r="K58" i="17"/>
  <c r="N58" i="17" s="1"/>
  <c r="K59" i="17"/>
  <c r="N59" i="17" s="1"/>
  <c r="K60" i="17"/>
  <c r="N60" i="17" s="1"/>
  <c r="K61" i="17"/>
  <c r="N61" i="17" s="1"/>
  <c r="K62" i="17"/>
  <c r="N62" i="17" s="1"/>
  <c r="K63" i="17"/>
  <c r="N63" i="17" s="1"/>
  <c r="K64" i="17"/>
  <c r="N64" i="17" s="1"/>
  <c r="K65" i="17"/>
  <c r="N65" i="17" s="1"/>
  <c r="K66" i="17"/>
  <c r="N66" i="17" s="1"/>
  <c r="K67" i="17"/>
  <c r="N67" i="17" s="1"/>
  <c r="K68" i="17"/>
  <c r="N68" i="17" s="1"/>
  <c r="K69" i="17"/>
  <c r="N69" i="17" s="1"/>
  <c r="K70" i="17"/>
  <c r="N70" i="17" s="1"/>
  <c r="K71" i="17"/>
  <c r="N71" i="17" s="1"/>
  <c r="K72" i="17"/>
  <c r="N72" i="17" s="1"/>
  <c r="K73" i="17"/>
  <c r="N73" i="17" s="1"/>
  <c r="K74" i="17"/>
  <c r="N74" i="17" s="1"/>
  <c r="K75" i="17"/>
  <c r="N75" i="17" s="1"/>
  <c r="K76" i="17"/>
  <c r="N76" i="17" s="1"/>
  <c r="K77" i="17"/>
  <c r="N77" i="17" s="1"/>
  <c r="K78" i="17"/>
  <c r="N78" i="17" s="1"/>
  <c r="K79" i="17"/>
  <c r="N79" i="17" s="1"/>
  <c r="K80" i="17"/>
  <c r="N80" i="17" s="1"/>
  <c r="K81" i="17"/>
  <c r="N81" i="17" s="1"/>
  <c r="K82" i="17"/>
  <c r="N82" i="17" s="1"/>
  <c r="K83" i="17"/>
  <c r="N83" i="17" s="1"/>
  <c r="K84" i="17"/>
  <c r="N84" i="17" s="1"/>
  <c r="K85" i="17"/>
  <c r="N85" i="17" s="1"/>
  <c r="K86" i="17"/>
  <c r="N86" i="17" s="1"/>
  <c r="K87" i="17"/>
  <c r="N87" i="17" s="1"/>
  <c r="K88" i="17"/>
  <c r="N88" i="17" s="1"/>
  <c r="K89" i="17"/>
  <c r="N89" i="17" s="1"/>
  <c r="K90" i="17"/>
  <c r="N90" i="17" s="1"/>
  <c r="K91" i="17"/>
  <c r="N91" i="17" s="1"/>
  <c r="K92" i="17"/>
  <c r="N92" i="17" s="1"/>
  <c r="K93" i="17"/>
  <c r="N93" i="17" s="1"/>
  <c r="K94" i="17"/>
  <c r="N94" i="17" s="1"/>
  <c r="K95" i="17"/>
  <c r="N95" i="17" s="1"/>
  <c r="K96" i="17"/>
  <c r="N96" i="17" s="1"/>
  <c r="K97" i="17"/>
  <c r="N97" i="17" s="1"/>
  <c r="K98" i="17"/>
  <c r="N98" i="17" s="1"/>
  <c r="K99" i="17"/>
  <c r="N99" i="17" s="1"/>
  <c r="K100" i="17"/>
  <c r="N100" i="17" s="1"/>
  <c r="K101" i="17"/>
  <c r="N101" i="17" s="1"/>
  <c r="K102" i="17"/>
  <c r="N102" i="17" s="1"/>
  <c r="K103" i="17"/>
  <c r="N103" i="17" s="1"/>
  <c r="K104" i="17"/>
  <c r="N104" i="17" s="1"/>
  <c r="K105" i="17"/>
  <c r="N105" i="17" s="1"/>
  <c r="K106" i="17"/>
  <c r="N106" i="17" s="1"/>
  <c r="K107" i="17"/>
  <c r="N107" i="17" s="1"/>
  <c r="K108" i="17"/>
  <c r="N108" i="17" s="1"/>
  <c r="K109" i="17"/>
  <c r="N109" i="17" s="1"/>
  <c r="K110" i="17"/>
  <c r="N110" i="17" s="1"/>
  <c r="K111" i="17"/>
  <c r="N111" i="17" s="1"/>
  <c r="K112" i="17"/>
  <c r="N112" i="17" s="1"/>
  <c r="K113" i="17"/>
  <c r="N113" i="17" s="1"/>
  <c r="K114" i="17"/>
  <c r="N114" i="17" s="1"/>
  <c r="K115" i="17"/>
  <c r="N115" i="17" s="1"/>
  <c r="K116" i="17"/>
  <c r="N116" i="17" s="1"/>
  <c r="K117" i="17"/>
  <c r="N117" i="17" s="1"/>
  <c r="K118" i="17"/>
  <c r="N118" i="17" s="1"/>
  <c r="K119" i="17"/>
  <c r="N119" i="17" s="1"/>
  <c r="K120" i="17"/>
  <c r="N120" i="17" s="1"/>
  <c r="K121" i="17"/>
  <c r="N121" i="17" s="1"/>
  <c r="K122" i="17"/>
  <c r="N122" i="17" s="1"/>
  <c r="K123" i="17"/>
  <c r="N123" i="17" s="1"/>
  <c r="K124" i="17"/>
  <c r="N124" i="17" s="1"/>
  <c r="K125" i="17"/>
  <c r="N125" i="17" s="1"/>
  <c r="K126" i="17"/>
  <c r="N126" i="17" s="1"/>
  <c r="K127" i="17"/>
  <c r="N127" i="17" s="1"/>
  <c r="K128" i="17"/>
  <c r="N128" i="17" s="1"/>
  <c r="K129" i="17"/>
  <c r="N129" i="17" s="1"/>
  <c r="K130" i="17"/>
  <c r="N130" i="17" s="1"/>
  <c r="K131" i="17"/>
  <c r="N131" i="17" s="1"/>
  <c r="K132" i="17"/>
  <c r="N132" i="17" s="1"/>
  <c r="K133" i="17"/>
  <c r="N133" i="17" s="1"/>
  <c r="K134" i="17"/>
  <c r="N134" i="17" s="1"/>
  <c r="K135" i="17"/>
  <c r="N135" i="17" s="1"/>
  <c r="K136" i="17"/>
  <c r="N136" i="17" s="1"/>
  <c r="K137" i="17"/>
  <c r="N137" i="17" s="1"/>
  <c r="K138" i="17"/>
  <c r="N138" i="17" s="1"/>
  <c r="K139" i="17"/>
  <c r="N139" i="17" s="1"/>
  <c r="U139" i="17" s="1"/>
  <c r="K140" i="17"/>
  <c r="N140" i="17" s="1"/>
  <c r="K141" i="17"/>
  <c r="N141" i="17" s="1"/>
  <c r="K142" i="17"/>
  <c r="N142" i="17" s="1"/>
  <c r="K143" i="17"/>
  <c r="N143" i="17" s="1"/>
  <c r="K144" i="17"/>
  <c r="N144" i="17" s="1"/>
  <c r="K145" i="17"/>
  <c r="N145" i="17" s="1"/>
  <c r="K146" i="17"/>
  <c r="N146" i="17" s="1"/>
  <c r="K147" i="17"/>
  <c r="N147" i="17" s="1"/>
  <c r="K148" i="17"/>
  <c r="N148" i="17" s="1"/>
  <c r="K149" i="17"/>
  <c r="N149" i="17" s="1"/>
  <c r="K150" i="17"/>
  <c r="N150" i="17" s="1"/>
  <c r="K151" i="17"/>
  <c r="N151" i="17" s="1"/>
  <c r="U151" i="17" s="1"/>
  <c r="K152" i="17"/>
  <c r="N152" i="17" s="1"/>
  <c r="K153" i="17"/>
  <c r="N153" i="17" s="1"/>
  <c r="K154" i="17"/>
  <c r="N154" i="17" s="1"/>
  <c r="K155" i="17"/>
  <c r="N155" i="17" s="1"/>
  <c r="K156" i="17"/>
  <c r="N156" i="17" s="1"/>
  <c r="K157" i="17"/>
  <c r="N157" i="17" s="1"/>
  <c r="K158" i="17"/>
  <c r="N158" i="17" s="1"/>
  <c r="K159" i="17"/>
  <c r="N159" i="17" s="1"/>
  <c r="K160" i="17"/>
  <c r="N160" i="17" s="1"/>
  <c r="K161" i="17"/>
  <c r="N161" i="17" s="1"/>
  <c r="K162" i="17"/>
  <c r="N162" i="17" s="1"/>
  <c r="K163" i="17"/>
  <c r="N163" i="17" s="1"/>
  <c r="K164" i="17"/>
  <c r="N164" i="17" s="1"/>
  <c r="K5" i="17"/>
  <c r="N5" i="17" s="1"/>
  <c r="U128" i="17" l="1"/>
  <c r="U104" i="17"/>
  <c r="U92" i="17"/>
  <c r="U80" i="17"/>
  <c r="U68" i="17"/>
  <c r="U56" i="17"/>
  <c r="U44" i="17"/>
  <c r="U32" i="17"/>
  <c r="U20" i="17"/>
  <c r="U8" i="17"/>
  <c r="U116" i="17"/>
  <c r="U153" i="17"/>
  <c r="U141" i="17"/>
  <c r="U130" i="17"/>
  <c r="U118" i="17"/>
  <c r="U106" i="17"/>
  <c r="U94" i="17"/>
  <c r="U82" i="17"/>
  <c r="U70" i="17"/>
  <c r="U58" i="17"/>
  <c r="U46" i="17"/>
  <c r="U34" i="17"/>
  <c r="U22" i="17"/>
  <c r="U10" i="17"/>
  <c r="U5" i="17"/>
  <c r="U152" i="17"/>
  <c r="U140" i="17"/>
  <c r="U129" i="17"/>
  <c r="U117" i="17"/>
  <c r="U105" i="17"/>
  <c r="U93" i="17"/>
  <c r="U81" i="17"/>
  <c r="U69" i="17"/>
  <c r="U57" i="17"/>
  <c r="U45" i="17"/>
  <c r="U33" i="17"/>
  <c r="U21" i="17"/>
  <c r="U9" i="17"/>
  <c r="U157" i="17"/>
  <c r="U134" i="17"/>
  <c r="U98" i="17"/>
  <c r="U74" i="17"/>
  <c r="U50" i="17"/>
  <c r="U14" i="17"/>
  <c r="U162" i="17"/>
  <c r="U156" i="17"/>
  <c r="U144" i="17"/>
  <c r="U133" i="17"/>
  <c r="U121" i="17"/>
  <c r="U109" i="17"/>
  <c r="U97" i="17"/>
  <c r="U85" i="17"/>
  <c r="U73" i="17"/>
  <c r="U61" i="17"/>
  <c r="U49" i="17"/>
  <c r="U37" i="17"/>
  <c r="U25" i="17"/>
  <c r="U13" i="17"/>
  <c r="U163" i="17"/>
  <c r="U145" i="17"/>
  <c r="U110" i="17"/>
  <c r="U62" i="17"/>
  <c r="U26" i="17"/>
  <c r="U164" i="17"/>
  <c r="U155" i="17"/>
  <c r="U143" i="17"/>
  <c r="U132" i="17"/>
  <c r="U120" i="17"/>
  <c r="U108" i="17"/>
  <c r="U72" i="17"/>
  <c r="U60" i="17"/>
  <c r="U48" i="17"/>
  <c r="U36" i="17"/>
  <c r="U24" i="17"/>
  <c r="U12" i="17"/>
  <c r="U122" i="17"/>
  <c r="U86" i="17"/>
  <c r="U38" i="17"/>
  <c r="U154" i="17"/>
  <c r="U142" i="17"/>
  <c r="U131" i="17"/>
  <c r="U119" i="17"/>
  <c r="U107" i="17"/>
  <c r="U95" i="17"/>
  <c r="U83" i="17"/>
  <c r="U71" i="17"/>
  <c r="U59" i="17"/>
  <c r="U47" i="17"/>
  <c r="U35" i="17"/>
  <c r="U23" i="17"/>
  <c r="U11" i="17"/>
  <c r="U158" i="17"/>
  <c r="U146" i="17"/>
  <c r="U123" i="17"/>
  <c r="U111" i="17"/>
  <c r="U99" i="17"/>
  <c r="U87" i="17"/>
  <c r="U75" i="17"/>
  <c r="U63" i="17"/>
  <c r="U51" i="17"/>
  <c r="U39" i="17"/>
  <c r="U27" i="17"/>
  <c r="U15" i="17"/>
  <c r="U96" i="17"/>
  <c r="U84" i="17"/>
  <c r="U150" i="17"/>
  <c r="U138" i="17"/>
  <c r="U127" i="17"/>
  <c r="U115" i="17"/>
  <c r="U103" i="17"/>
  <c r="U91" i="17"/>
  <c r="U79" i="17"/>
  <c r="U67" i="17"/>
  <c r="U55" i="17"/>
  <c r="U43" i="17"/>
  <c r="U31" i="17"/>
  <c r="U19" i="17"/>
  <c r="U7" i="17"/>
  <c r="U161" i="17"/>
  <c r="U149" i="17"/>
  <c r="U137" i="17"/>
  <c r="U126" i="17"/>
  <c r="U114" i="17"/>
  <c r="U102" i="17"/>
  <c r="U90" i="17"/>
  <c r="U78" i="17"/>
  <c r="U66" i="17"/>
  <c r="U54" i="17"/>
  <c r="U42" i="17"/>
  <c r="U30" i="17"/>
  <c r="U18" i="17"/>
  <c r="U6" i="17"/>
  <c r="U160" i="17"/>
  <c r="U148" i="17"/>
  <c r="U136" i="17"/>
  <c r="U125" i="17"/>
  <c r="U113" i="17"/>
  <c r="U101" i="17"/>
  <c r="U89" i="17"/>
  <c r="U77" i="17"/>
  <c r="U65" i="17"/>
  <c r="U53" i="17"/>
  <c r="U41" i="17"/>
  <c r="U29" i="17"/>
  <c r="U17" i="17"/>
  <c r="U159" i="17"/>
  <c r="U147" i="17"/>
  <c r="U135" i="17"/>
  <c r="U124" i="17"/>
  <c r="U112" i="17"/>
  <c r="U100" i="17"/>
  <c r="U88" i="17"/>
  <c r="U76" i="17"/>
  <c r="U64" i="17"/>
  <c r="U52" i="17"/>
  <c r="U40" i="17"/>
  <c r="U28" i="17"/>
  <c r="U16" i="17"/>
  <c r="P6" i="16"/>
  <c r="S6" i="16" s="1"/>
  <c r="P7" i="16"/>
  <c r="S7" i="16" s="1"/>
  <c r="P8" i="16"/>
  <c r="S8" i="16" s="1"/>
  <c r="P9" i="16"/>
  <c r="S9" i="16" s="1"/>
  <c r="P10" i="16"/>
  <c r="S10" i="16" s="1"/>
  <c r="P11" i="16"/>
  <c r="S11" i="16" s="1"/>
  <c r="P12" i="16"/>
  <c r="S12" i="16" s="1"/>
  <c r="P13" i="16"/>
  <c r="S13" i="16" s="1"/>
  <c r="P14" i="16"/>
  <c r="S14" i="16" s="1"/>
  <c r="P15" i="16"/>
  <c r="S15" i="16" s="1"/>
  <c r="P16" i="16"/>
  <c r="S16" i="16" s="1"/>
  <c r="P17" i="16"/>
  <c r="S17" i="16" s="1"/>
  <c r="P18" i="16"/>
  <c r="S18" i="16" s="1"/>
  <c r="P19" i="16"/>
  <c r="S19" i="16" s="1"/>
  <c r="P20" i="16"/>
  <c r="S20" i="16" s="1"/>
  <c r="P21" i="16"/>
  <c r="S21" i="16" s="1"/>
  <c r="P22" i="16"/>
  <c r="S22" i="16" s="1"/>
  <c r="P23" i="16"/>
  <c r="S23" i="16" s="1"/>
  <c r="P24" i="16"/>
  <c r="S24" i="16" s="1"/>
  <c r="P25" i="16"/>
  <c r="S25" i="16" s="1"/>
  <c r="P26" i="16"/>
  <c r="S26" i="16" s="1"/>
  <c r="P27" i="16"/>
  <c r="S27" i="16" s="1"/>
  <c r="P28" i="16"/>
  <c r="S28" i="16" s="1"/>
  <c r="P29" i="16"/>
  <c r="S29" i="16" s="1"/>
  <c r="P30" i="16"/>
  <c r="S30" i="16" s="1"/>
  <c r="P31" i="16"/>
  <c r="S31" i="16" s="1"/>
  <c r="P32" i="16"/>
  <c r="S32" i="16" s="1"/>
  <c r="P33" i="16"/>
  <c r="S33" i="16" s="1"/>
  <c r="P34" i="16"/>
  <c r="S34" i="16" s="1"/>
  <c r="P35" i="16"/>
  <c r="S35" i="16" s="1"/>
  <c r="P36" i="16"/>
  <c r="S36" i="16" s="1"/>
  <c r="P37" i="16"/>
  <c r="S37" i="16" s="1"/>
  <c r="P38" i="16"/>
  <c r="S38" i="16" s="1"/>
  <c r="P39" i="16"/>
  <c r="S39" i="16" s="1"/>
  <c r="P40" i="16"/>
  <c r="S40" i="16" s="1"/>
  <c r="P41" i="16"/>
  <c r="S41" i="16" s="1"/>
  <c r="P42" i="16"/>
  <c r="S42" i="16" s="1"/>
  <c r="P43" i="16"/>
  <c r="S43" i="16" s="1"/>
  <c r="P44" i="16"/>
  <c r="S44" i="16" s="1"/>
  <c r="P45" i="16"/>
  <c r="S45" i="16" s="1"/>
  <c r="P46" i="16"/>
  <c r="S46" i="16" s="1"/>
  <c r="P47" i="16"/>
  <c r="S47" i="16" s="1"/>
  <c r="P48" i="16"/>
  <c r="S48" i="16" s="1"/>
  <c r="P49" i="16"/>
  <c r="S49" i="16" s="1"/>
  <c r="P50" i="16"/>
  <c r="S50" i="16" s="1"/>
  <c r="P51" i="16"/>
  <c r="S51" i="16" s="1"/>
  <c r="P52" i="16"/>
  <c r="S52" i="16" s="1"/>
  <c r="P53" i="16"/>
  <c r="S53" i="16" s="1"/>
  <c r="P54" i="16"/>
  <c r="S54" i="16" s="1"/>
  <c r="P55" i="16"/>
  <c r="S55" i="16" s="1"/>
  <c r="P56" i="16"/>
  <c r="S56" i="16" s="1"/>
  <c r="P57" i="16"/>
  <c r="S57" i="16" s="1"/>
  <c r="P58" i="16"/>
  <c r="S58" i="16" s="1"/>
  <c r="P59" i="16"/>
  <c r="S59" i="16" s="1"/>
  <c r="P60" i="16"/>
  <c r="S60" i="16" s="1"/>
  <c r="P61" i="16"/>
  <c r="S61" i="16" s="1"/>
  <c r="P62" i="16"/>
  <c r="S62" i="16" s="1"/>
  <c r="P63" i="16"/>
  <c r="S63" i="16" s="1"/>
  <c r="P64" i="16"/>
  <c r="S64" i="16" s="1"/>
  <c r="P65" i="16"/>
  <c r="S65" i="16" s="1"/>
  <c r="P66" i="16"/>
  <c r="S66" i="16" s="1"/>
  <c r="P67" i="16"/>
  <c r="S67" i="16" s="1"/>
  <c r="P68" i="16"/>
  <c r="S68" i="16" s="1"/>
  <c r="P69" i="16"/>
  <c r="S69" i="16" s="1"/>
  <c r="P72" i="16"/>
  <c r="S72" i="16" s="1"/>
  <c r="P73" i="16"/>
  <c r="S73" i="16" s="1"/>
  <c r="P74" i="16"/>
  <c r="S74" i="16" s="1"/>
  <c r="P75" i="16"/>
  <c r="S75" i="16" s="1"/>
  <c r="P76" i="16"/>
  <c r="S76" i="16" s="1"/>
  <c r="P77" i="16"/>
  <c r="S77" i="16" s="1"/>
  <c r="P78" i="16"/>
  <c r="S78" i="16" s="1"/>
  <c r="P79" i="16"/>
  <c r="S79" i="16" s="1"/>
  <c r="P80" i="16"/>
  <c r="S80" i="16" s="1"/>
  <c r="P81" i="16"/>
  <c r="S81" i="16" s="1"/>
  <c r="P82" i="16"/>
  <c r="S82" i="16" s="1"/>
  <c r="P83" i="16"/>
  <c r="S83" i="16" s="1"/>
  <c r="P84" i="16"/>
  <c r="S84" i="16" s="1"/>
  <c r="P85" i="16"/>
  <c r="S85" i="16" s="1"/>
  <c r="P86" i="16"/>
  <c r="S86" i="16" s="1"/>
  <c r="P87" i="16"/>
  <c r="S87" i="16" s="1"/>
  <c r="P88" i="16"/>
  <c r="S88" i="16" s="1"/>
  <c r="P89" i="16"/>
  <c r="S89" i="16" s="1"/>
  <c r="P90" i="16"/>
  <c r="S90" i="16" s="1"/>
  <c r="P91" i="16"/>
  <c r="S91" i="16" s="1"/>
  <c r="P92" i="16"/>
  <c r="S92" i="16" s="1"/>
  <c r="P93" i="16"/>
  <c r="S93" i="16" s="1"/>
  <c r="P94" i="16"/>
  <c r="S94" i="16" s="1"/>
  <c r="P95" i="16"/>
  <c r="S95" i="16" s="1"/>
  <c r="P96" i="16"/>
  <c r="S96" i="16" s="1"/>
  <c r="P97" i="16"/>
  <c r="S97" i="16" s="1"/>
  <c r="P98" i="16"/>
  <c r="S98" i="16" s="1"/>
  <c r="P99" i="16"/>
  <c r="S99" i="16" s="1"/>
  <c r="P100" i="16"/>
  <c r="S100" i="16" s="1"/>
  <c r="P101" i="16"/>
  <c r="S101" i="16" s="1"/>
  <c r="P102" i="16"/>
  <c r="S102" i="16" s="1"/>
  <c r="P103" i="16"/>
  <c r="S103" i="16" s="1"/>
  <c r="P104" i="16"/>
  <c r="S104" i="16" s="1"/>
  <c r="P105" i="16"/>
  <c r="S105" i="16" s="1"/>
  <c r="P106" i="16"/>
  <c r="S106" i="16" s="1"/>
  <c r="P107" i="16"/>
  <c r="S107" i="16" s="1"/>
  <c r="P108" i="16"/>
  <c r="S108" i="16" s="1"/>
  <c r="P109" i="16"/>
  <c r="S109" i="16" s="1"/>
  <c r="P110" i="16"/>
  <c r="S110" i="16" s="1"/>
  <c r="P111" i="16"/>
  <c r="S111" i="16" s="1"/>
  <c r="P112" i="16"/>
  <c r="S112" i="16" s="1"/>
  <c r="P113" i="16"/>
  <c r="S113" i="16" s="1"/>
  <c r="P114" i="16"/>
  <c r="S114" i="16" s="1"/>
  <c r="P115" i="16"/>
  <c r="S115" i="16" s="1"/>
  <c r="P116" i="16"/>
  <c r="S116" i="16" s="1"/>
  <c r="P117" i="16"/>
  <c r="S117" i="16" s="1"/>
  <c r="P118" i="16"/>
  <c r="S118" i="16" s="1"/>
  <c r="P119" i="16"/>
  <c r="S119" i="16" s="1"/>
  <c r="P120" i="16"/>
  <c r="S120" i="16" s="1"/>
  <c r="P121" i="16"/>
  <c r="S121" i="16" s="1"/>
  <c r="P122" i="16"/>
  <c r="S122" i="16" s="1"/>
  <c r="P123" i="16"/>
  <c r="S123" i="16" s="1"/>
  <c r="P124" i="16"/>
  <c r="S124" i="16" s="1"/>
  <c r="P125" i="16"/>
  <c r="S125" i="16" s="1"/>
  <c r="P126" i="16"/>
  <c r="S126" i="16" s="1"/>
  <c r="P127" i="16"/>
  <c r="S127" i="16" s="1"/>
  <c r="P128" i="16"/>
  <c r="S128" i="16" s="1"/>
  <c r="P129" i="16"/>
  <c r="S129" i="16" s="1"/>
  <c r="P130" i="16"/>
  <c r="S130" i="16" s="1"/>
  <c r="P131" i="16"/>
  <c r="S131" i="16" s="1"/>
  <c r="P132" i="16"/>
  <c r="S132" i="16" s="1"/>
  <c r="P133" i="16"/>
  <c r="S133" i="16" s="1"/>
  <c r="P134" i="16"/>
  <c r="S134" i="16" s="1"/>
  <c r="P135" i="16"/>
  <c r="S135" i="16" s="1"/>
  <c r="P136" i="16"/>
  <c r="S136" i="16" s="1"/>
  <c r="P137" i="16"/>
  <c r="S137" i="16" s="1"/>
  <c r="P138" i="16"/>
  <c r="S138" i="16" s="1"/>
  <c r="P139" i="16"/>
  <c r="S139" i="16" s="1"/>
  <c r="P140" i="16"/>
  <c r="S140" i="16" s="1"/>
  <c r="P141" i="16"/>
  <c r="S141" i="16" s="1"/>
  <c r="P142" i="16"/>
  <c r="S142" i="16" s="1"/>
  <c r="P143" i="16"/>
  <c r="S143" i="16" s="1"/>
  <c r="P144" i="16"/>
  <c r="S144" i="16" s="1"/>
  <c r="P145" i="16"/>
  <c r="S145" i="16" s="1"/>
  <c r="P146" i="16"/>
  <c r="S146" i="16" s="1"/>
  <c r="P147" i="16"/>
  <c r="S147" i="16" s="1"/>
  <c r="P148" i="16"/>
  <c r="S148" i="16" s="1"/>
  <c r="P149" i="16"/>
  <c r="S149" i="16" s="1"/>
  <c r="P150" i="16"/>
  <c r="S150" i="16" s="1"/>
  <c r="P151" i="16"/>
  <c r="S151" i="16" s="1"/>
  <c r="P152" i="16"/>
  <c r="S152" i="16" s="1"/>
  <c r="P153" i="16"/>
  <c r="S153" i="16" s="1"/>
  <c r="P154" i="16"/>
  <c r="S154" i="16" s="1"/>
  <c r="P155" i="16"/>
  <c r="S155" i="16" s="1"/>
  <c r="P156" i="16"/>
  <c r="S156" i="16" s="1"/>
  <c r="P157" i="16"/>
  <c r="S157" i="16" s="1"/>
  <c r="P158" i="16"/>
  <c r="S158" i="16" s="1"/>
  <c r="P159" i="16"/>
  <c r="S159" i="16" s="1"/>
  <c r="P160" i="16"/>
  <c r="S160" i="16" s="1"/>
  <c r="P161" i="16"/>
  <c r="S161" i="16" s="1"/>
  <c r="P162" i="16"/>
  <c r="S162" i="16" s="1"/>
  <c r="P163" i="16"/>
  <c r="S163" i="16" s="1"/>
  <c r="P164" i="16"/>
  <c r="S164" i="16" s="1"/>
  <c r="P165" i="16"/>
  <c r="S165" i="16" s="1"/>
  <c r="P166" i="16"/>
  <c r="S166" i="16" s="1"/>
  <c r="P167" i="16"/>
  <c r="S167" i="16" s="1"/>
  <c r="P168" i="16"/>
  <c r="S168" i="16" s="1"/>
  <c r="P169" i="16"/>
  <c r="S169" i="16" s="1"/>
  <c r="P170" i="16"/>
  <c r="S170" i="16" s="1"/>
  <c r="P171" i="16"/>
  <c r="S171" i="16" s="1"/>
  <c r="P172" i="16"/>
  <c r="S172" i="16" s="1"/>
  <c r="P173" i="16"/>
  <c r="S173" i="16" s="1"/>
  <c r="P174" i="16"/>
  <c r="S174" i="16" s="1"/>
  <c r="P175" i="16"/>
  <c r="S175" i="16" s="1"/>
  <c r="P176" i="16"/>
  <c r="S176" i="16" s="1"/>
  <c r="P177" i="16"/>
  <c r="S177" i="16" s="1"/>
  <c r="P178" i="16"/>
  <c r="S178" i="16" s="1"/>
  <c r="P5" i="16"/>
  <c r="S5" i="16" s="1"/>
  <c r="K6" i="16"/>
  <c r="N6" i="16" s="1"/>
  <c r="K7" i="16"/>
  <c r="N7" i="16" s="1"/>
  <c r="K8" i="16"/>
  <c r="N8" i="16" s="1"/>
  <c r="K9" i="16"/>
  <c r="N9" i="16" s="1"/>
  <c r="K10" i="16"/>
  <c r="N10" i="16" s="1"/>
  <c r="K11" i="16"/>
  <c r="N11" i="16" s="1"/>
  <c r="K12" i="16"/>
  <c r="N12" i="16" s="1"/>
  <c r="K13" i="16"/>
  <c r="N13" i="16" s="1"/>
  <c r="K14" i="16"/>
  <c r="N14" i="16" s="1"/>
  <c r="K15" i="16"/>
  <c r="N15" i="16" s="1"/>
  <c r="K16" i="16"/>
  <c r="N16" i="16" s="1"/>
  <c r="K17" i="16"/>
  <c r="N17" i="16" s="1"/>
  <c r="K18" i="16"/>
  <c r="N18" i="16" s="1"/>
  <c r="K19" i="16"/>
  <c r="N19" i="16" s="1"/>
  <c r="K20" i="16"/>
  <c r="N20" i="16" s="1"/>
  <c r="K21" i="16"/>
  <c r="N21" i="16" s="1"/>
  <c r="K22" i="16"/>
  <c r="N22" i="16" s="1"/>
  <c r="K23" i="16"/>
  <c r="N23" i="16" s="1"/>
  <c r="K24" i="16"/>
  <c r="N24" i="16" s="1"/>
  <c r="K25" i="16"/>
  <c r="N25" i="16" s="1"/>
  <c r="K26" i="16"/>
  <c r="N26" i="16" s="1"/>
  <c r="K27" i="16"/>
  <c r="N27" i="16" s="1"/>
  <c r="K28" i="16"/>
  <c r="N28" i="16" s="1"/>
  <c r="K29" i="16"/>
  <c r="N29" i="16" s="1"/>
  <c r="K30" i="16"/>
  <c r="N30" i="16" s="1"/>
  <c r="K31" i="16"/>
  <c r="N31" i="16" s="1"/>
  <c r="K32" i="16"/>
  <c r="N32" i="16" s="1"/>
  <c r="K33" i="16"/>
  <c r="N33" i="16" s="1"/>
  <c r="K34" i="16"/>
  <c r="N34" i="16" s="1"/>
  <c r="K35" i="16"/>
  <c r="N35" i="16" s="1"/>
  <c r="K36" i="16"/>
  <c r="N36" i="16" s="1"/>
  <c r="K37" i="16"/>
  <c r="N37" i="16" s="1"/>
  <c r="K38" i="16"/>
  <c r="N38" i="16" s="1"/>
  <c r="K39" i="16"/>
  <c r="N39" i="16" s="1"/>
  <c r="K40" i="16"/>
  <c r="N40" i="16" s="1"/>
  <c r="K41" i="16"/>
  <c r="N41" i="16" s="1"/>
  <c r="K42" i="16"/>
  <c r="N42" i="16" s="1"/>
  <c r="K43" i="16"/>
  <c r="N43" i="16" s="1"/>
  <c r="K44" i="16"/>
  <c r="N44" i="16" s="1"/>
  <c r="K45" i="16"/>
  <c r="N45" i="16" s="1"/>
  <c r="K46" i="16"/>
  <c r="N46" i="16" s="1"/>
  <c r="K47" i="16"/>
  <c r="N47" i="16" s="1"/>
  <c r="K48" i="16"/>
  <c r="N48" i="16" s="1"/>
  <c r="K49" i="16"/>
  <c r="N49" i="16" s="1"/>
  <c r="K50" i="16"/>
  <c r="N50" i="16" s="1"/>
  <c r="K51" i="16"/>
  <c r="N51" i="16" s="1"/>
  <c r="K52" i="16"/>
  <c r="N52" i="16" s="1"/>
  <c r="K53" i="16"/>
  <c r="N53" i="16" s="1"/>
  <c r="K54" i="16"/>
  <c r="N54" i="16" s="1"/>
  <c r="K55" i="16"/>
  <c r="N55" i="16" s="1"/>
  <c r="K56" i="16"/>
  <c r="N56" i="16" s="1"/>
  <c r="K57" i="16"/>
  <c r="N57" i="16" s="1"/>
  <c r="K58" i="16"/>
  <c r="N58" i="16" s="1"/>
  <c r="K59" i="16"/>
  <c r="N59" i="16" s="1"/>
  <c r="K60" i="16"/>
  <c r="N60" i="16" s="1"/>
  <c r="K61" i="16"/>
  <c r="N61" i="16" s="1"/>
  <c r="K62" i="16"/>
  <c r="N62" i="16" s="1"/>
  <c r="K63" i="16"/>
  <c r="N63" i="16" s="1"/>
  <c r="K64" i="16"/>
  <c r="N64" i="16" s="1"/>
  <c r="K65" i="16"/>
  <c r="N65" i="16" s="1"/>
  <c r="K66" i="16"/>
  <c r="N66" i="16" s="1"/>
  <c r="K67" i="16"/>
  <c r="N67" i="16" s="1"/>
  <c r="K68" i="16"/>
  <c r="N68" i="16" s="1"/>
  <c r="K69" i="16"/>
  <c r="N69" i="16" s="1"/>
  <c r="K72" i="16"/>
  <c r="N72" i="16" s="1"/>
  <c r="K73" i="16"/>
  <c r="N73" i="16" s="1"/>
  <c r="K74" i="16"/>
  <c r="N74" i="16" s="1"/>
  <c r="K75" i="16"/>
  <c r="N75" i="16" s="1"/>
  <c r="K76" i="16"/>
  <c r="N76" i="16" s="1"/>
  <c r="K77" i="16"/>
  <c r="N77" i="16" s="1"/>
  <c r="K78" i="16"/>
  <c r="N78" i="16" s="1"/>
  <c r="K79" i="16"/>
  <c r="N79" i="16" s="1"/>
  <c r="K80" i="16"/>
  <c r="N80" i="16" s="1"/>
  <c r="K81" i="16"/>
  <c r="N81" i="16" s="1"/>
  <c r="K82" i="16"/>
  <c r="N82" i="16" s="1"/>
  <c r="K83" i="16"/>
  <c r="N83" i="16" s="1"/>
  <c r="K84" i="16"/>
  <c r="N84" i="16" s="1"/>
  <c r="K85" i="16"/>
  <c r="N85" i="16" s="1"/>
  <c r="K86" i="16"/>
  <c r="N86" i="16" s="1"/>
  <c r="K87" i="16"/>
  <c r="N87" i="16" s="1"/>
  <c r="K88" i="16"/>
  <c r="N88" i="16" s="1"/>
  <c r="K89" i="16"/>
  <c r="N89" i="16" s="1"/>
  <c r="K90" i="16"/>
  <c r="N90" i="16" s="1"/>
  <c r="K91" i="16"/>
  <c r="N91" i="16" s="1"/>
  <c r="K92" i="16"/>
  <c r="N92" i="16" s="1"/>
  <c r="K93" i="16"/>
  <c r="N93" i="16" s="1"/>
  <c r="K94" i="16"/>
  <c r="N94" i="16" s="1"/>
  <c r="K95" i="16"/>
  <c r="N95" i="16" s="1"/>
  <c r="K96" i="16"/>
  <c r="N96" i="16" s="1"/>
  <c r="K97" i="16"/>
  <c r="N97" i="16" s="1"/>
  <c r="K98" i="16"/>
  <c r="N98" i="16" s="1"/>
  <c r="K99" i="16"/>
  <c r="N99" i="16" s="1"/>
  <c r="K100" i="16"/>
  <c r="N100" i="16" s="1"/>
  <c r="K101" i="16"/>
  <c r="N101" i="16" s="1"/>
  <c r="K102" i="16"/>
  <c r="N102" i="16" s="1"/>
  <c r="K103" i="16"/>
  <c r="N103" i="16" s="1"/>
  <c r="K104" i="16"/>
  <c r="N104" i="16" s="1"/>
  <c r="K105" i="16"/>
  <c r="N105" i="16" s="1"/>
  <c r="K106" i="16"/>
  <c r="N106" i="16" s="1"/>
  <c r="K107" i="16"/>
  <c r="N107" i="16" s="1"/>
  <c r="K108" i="16"/>
  <c r="N108" i="16" s="1"/>
  <c r="K109" i="16"/>
  <c r="N109" i="16" s="1"/>
  <c r="K110" i="16"/>
  <c r="N110" i="16" s="1"/>
  <c r="K111" i="16"/>
  <c r="N111" i="16" s="1"/>
  <c r="K112" i="16"/>
  <c r="N112" i="16" s="1"/>
  <c r="K113" i="16"/>
  <c r="N113" i="16" s="1"/>
  <c r="K114" i="16"/>
  <c r="N114" i="16" s="1"/>
  <c r="K115" i="16"/>
  <c r="N115" i="16" s="1"/>
  <c r="K116" i="16"/>
  <c r="N116" i="16" s="1"/>
  <c r="K117" i="16"/>
  <c r="N117" i="16" s="1"/>
  <c r="K118" i="16"/>
  <c r="N118" i="16" s="1"/>
  <c r="K119" i="16"/>
  <c r="N119" i="16" s="1"/>
  <c r="K120" i="16"/>
  <c r="N120" i="16" s="1"/>
  <c r="K121" i="16"/>
  <c r="N121" i="16" s="1"/>
  <c r="K122" i="16"/>
  <c r="N122" i="16" s="1"/>
  <c r="K123" i="16"/>
  <c r="N123" i="16" s="1"/>
  <c r="K124" i="16"/>
  <c r="N124" i="16" s="1"/>
  <c r="K125" i="16"/>
  <c r="N125" i="16" s="1"/>
  <c r="K126" i="16"/>
  <c r="N126" i="16" s="1"/>
  <c r="K127" i="16"/>
  <c r="N127" i="16" s="1"/>
  <c r="K128" i="16"/>
  <c r="N128" i="16" s="1"/>
  <c r="K129" i="16"/>
  <c r="N129" i="16" s="1"/>
  <c r="K130" i="16"/>
  <c r="N130" i="16" s="1"/>
  <c r="K131" i="16"/>
  <c r="N131" i="16" s="1"/>
  <c r="K132" i="16"/>
  <c r="N132" i="16" s="1"/>
  <c r="K133" i="16"/>
  <c r="N133" i="16" s="1"/>
  <c r="K134" i="16"/>
  <c r="N134" i="16" s="1"/>
  <c r="K135" i="16"/>
  <c r="N135" i="16" s="1"/>
  <c r="K136" i="16"/>
  <c r="N136" i="16" s="1"/>
  <c r="K137" i="16"/>
  <c r="N137" i="16" s="1"/>
  <c r="K138" i="16"/>
  <c r="N138" i="16" s="1"/>
  <c r="K139" i="16"/>
  <c r="N139" i="16" s="1"/>
  <c r="K140" i="16"/>
  <c r="N140" i="16" s="1"/>
  <c r="K141" i="16"/>
  <c r="N141" i="16" s="1"/>
  <c r="K142" i="16"/>
  <c r="N142" i="16" s="1"/>
  <c r="K143" i="16"/>
  <c r="N143" i="16" s="1"/>
  <c r="K144" i="16"/>
  <c r="N144" i="16" s="1"/>
  <c r="K145" i="16"/>
  <c r="N145" i="16" s="1"/>
  <c r="K146" i="16"/>
  <c r="N146" i="16" s="1"/>
  <c r="K147" i="16"/>
  <c r="N147" i="16" s="1"/>
  <c r="K148" i="16"/>
  <c r="N148" i="16" s="1"/>
  <c r="K149" i="16"/>
  <c r="N149" i="16" s="1"/>
  <c r="K150" i="16"/>
  <c r="N150" i="16" s="1"/>
  <c r="K151" i="16"/>
  <c r="N151" i="16" s="1"/>
  <c r="K152" i="16"/>
  <c r="N152" i="16" s="1"/>
  <c r="K153" i="16"/>
  <c r="N153" i="16" s="1"/>
  <c r="K154" i="16"/>
  <c r="N154" i="16" s="1"/>
  <c r="K155" i="16"/>
  <c r="N155" i="16" s="1"/>
  <c r="K156" i="16"/>
  <c r="N156" i="16" s="1"/>
  <c r="K157" i="16"/>
  <c r="N157" i="16" s="1"/>
  <c r="K158" i="16"/>
  <c r="N158" i="16" s="1"/>
  <c r="K159" i="16"/>
  <c r="N159" i="16" s="1"/>
  <c r="K160" i="16"/>
  <c r="N160" i="16" s="1"/>
  <c r="K161" i="16"/>
  <c r="N161" i="16" s="1"/>
  <c r="K162" i="16"/>
  <c r="N162" i="16" s="1"/>
  <c r="K163" i="16"/>
  <c r="N163" i="16" s="1"/>
  <c r="K164" i="16"/>
  <c r="N164" i="16" s="1"/>
  <c r="K165" i="16"/>
  <c r="N165" i="16" s="1"/>
  <c r="K166" i="16"/>
  <c r="N166" i="16" s="1"/>
  <c r="K167" i="16"/>
  <c r="N167" i="16" s="1"/>
  <c r="K168" i="16"/>
  <c r="N168" i="16" s="1"/>
  <c r="K169" i="16"/>
  <c r="N169" i="16" s="1"/>
  <c r="K170" i="16"/>
  <c r="N170" i="16" s="1"/>
  <c r="K171" i="16"/>
  <c r="N171" i="16" s="1"/>
  <c r="K172" i="16"/>
  <c r="N172" i="16" s="1"/>
  <c r="K173" i="16"/>
  <c r="N173" i="16" s="1"/>
  <c r="K174" i="16"/>
  <c r="N174" i="16" s="1"/>
  <c r="K175" i="16"/>
  <c r="N175" i="16" s="1"/>
  <c r="K176" i="16"/>
  <c r="N176" i="16" s="1"/>
  <c r="K177" i="16"/>
  <c r="N177" i="16" s="1"/>
  <c r="K178" i="16"/>
  <c r="N178" i="16" s="1"/>
  <c r="K5" i="16"/>
  <c r="N5" i="16" s="1"/>
  <c r="U26" i="16" l="1"/>
  <c r="U146" i="16"/>
  <c r="U124" i="16"/>
  <c r="U76" i="16"/>
  <c r="U38" i="16"/>
  <c r="U14" i="16"/>
  <c r="U135" i="16"/>
  <c r="U49" i="16"/>
  <c r="U13" i="16"/>
  <c r="U158" i="16"/>
  <c r="U112" i="16"/>
  <c r="U62" i="16"/>
  <c r="U99" i="16"/>
  <c r="U170" i="16"/>
  <c r="U100" i="16"/>
  <c r="U50" i="16"/>
  <c r="U111" i="16"/>
  <c r="U37" i="16"/>
  <c r="U167" i="16"/>
  <c r="U143" i="16"/>
  <c r="U136" i="16"/>
  <c r="U88" i="16"/>
  <c r="U123" i="16"/>
  <c r="U25" i="16"/>
  <c r="U155" i="16"/>
  <c r="U168" i="16"/>
  <c r="U156" i="16"/>
  <c r="U144" i="16"/>
  <c r="U126" i="16"/>
  <c r="U114" i="16"/>
  <c r="U102" i="16"/>
  <c r="U61" i="16"/>
  <c r="U87" i="16"/>
  <c r="U75" i="16"/>
  <c r="U149" i="16"/>
  <c r="U161" i="16"/>
  <c r="U129" i="16"/>
  <c r="U148" i="16"/>
  <c r="U116" i="16"/>
  <c r="U92" i="16"/>
  <c r="U66" i="16"/>
  <c r="U54" i="16"/>
  <c r="U30" i="16"/>
  <c r="U18" i="16"/>
  <c r="U6" i="16"/>
  <c r="U173" i="16"/>
  <c r="U172" i="16"/>
  <c r="U160" i="16"/>
  <c r="U128" i="16"/>
  <c r="U104" i="16"/>
  <c r="U80" i="16"/>
  <c r="U42" i="16"/>
  <c r="U117" i="16"/>
  <c r="U105" i="16"/>
  <c r="U93" i="16"/>
  <c r="U81" i="16"/>
  <c r="U67" i="16"/>
  <c r="U55" i="16"/>
  <c r="U43" i="16"/>
  <c r="U31" i="16"/>
  <c r="U19" i="16"/>
  <c r="U7" i="16"/>
  <c r="U169" i="16"/>
  <c r="U157" i="16"/>
  <c r="U145" i="16"/>
  <c r="U137" i="16"/>
  <c r="U125" i="16"/>
  <c r="U113" i="16"/>
  <c r="U101" i="16"/>
  <c r="U89" i="16"/>
  <c r="U77" i="16"/>
  <c r="U63" i="16"/>
  <c r="U51" i="16"/>
  <c r="U39" i="16"/>
  <c r="U27" i="16"/>
  <c r="U15" i="16"/>
  <c r="U90" i="16"/>
  <c r="U78" i="16"/>
  <c r="U64" i="16"/>
  <c r="U52" i="16"/>
  <c r="U40" i="16"/>
  <c r="U28" i="16"/>
  <c r="U16" i="16"/>
  <c r="U178" i="16"/>
  <c r="U177" i="16"/>
  <c r="U171" i="16"/>
  <c r="U159" i="16"/>
  <c r="U147" i="16"/>
  <c r="U127" i="16"/>
  <c r="U115" i="16"/>
  <c r="U103" i="16"/>
  <c r="U91" i="16"/>
  <c r="U79" i="16"/>
  <c r="U65" i="16"/>
  <c r="U53" i="16"/>
  <c r="U41" i="16"/>
  <c r="U29" i="16"/>
  <c r="U17" i="16"/>
  <c r="U166" i="16"/>
  <c r="U154" i="16"/>
  <c r="U142" i="16"/>
  <c r="U134" i="16"/>
  <c r="U122" i="16"/>
  <c r="U110" i="16"/>
  <c r="U98" i="16"/>
  <c r="U86" i="16"/>
  <c r="U74" i="16"/>
  <c r="U60" i="16"/>
  <c r="U48" i="16"/>
  <c r="U36" i="16"/>
  <c r="U24" i="16"/>
  <c r="U12" i="16"/>
  <c r="U165" i="16"/>
  <c r="U153" i="16"/>
  <c r="U141" i="16"/>
  <c r="U133" i="16"/>
  <c r="U121" i="16"/>
  <c r="U109" i="16"/>
  <c r="U97" i="16"/>
  <c r="U85" i="16"/>
  <c r="U73" i="16"/>
  <c r="U59" i="16"/>
  <c r="U47" i="16"/>
  <c r="U35" i="16"/>
  <c r="U23" i="16"/>
  <c r="U11" i="16"/>
  <c r="U176" i="16"/>
  <c r="U164" i="16"/>
  <c r="U152" i="16"/>
  <c r="U140" i="16"/>
  <c r="U132" i="16"/>
  <c r="U120" i="16"/>
  <c r="U108" i="16"/>
  <c r="U96" i="16"/>
  <c r="U84" i="16"/>
  <c r="U72" i="16"/>
  <c r="U58" i="16"/>
  <c r="U46" i="16"/>
  <c r="U34" i="16"/>
  <c r="U22" i="16"/>
  <c r="U10" i="16"/>
  <c r="U175" i="16"/>
  <c r="U163" i="16"/>
  <c r="U151" i="16"/>
  <c r="U139" i="16"/>
  <c r="U131" i="16"/>
  <c r="U119" i="16"/>
  <c r="U107" i="16"/>
  <c r="U95" i="16"/>
  <c r="U83" i="16"/>
  <c r="U69" i="16"/>
  <c r="U57" i="16"/>
  <c r="U45" i="16"/>
  <c r="U33" i="16"/>
  <c r="U21" i="16"/>
  <c r="U9" i="16"/>
  <c r="U5" i="16"/>
  <c r="U174" i="16"/>
  <c r="U162" i="16"/>
  <c r="U150" i="16"/>
  <c r="U138" i="16"/>
  <c r="U130" i="16"/>
  <c r="U118" i="16"/>
  <c r="U106" i="16"/>
  <c r="U94" i="16"/>
  <c r="U82" i="16"/>
  <c r="U68" i="16"/>
  <c r="U56" i="16"/>
  <c r="U44" i="16"/>
  <c r="U32" i="16"/>
  <c r="U20" i="16"/>
  <c r="U8" i="16"/>
  <c r="S100" i="1"/>
  <c r="Q100" i="1"/>
  <c r="T100" i="1" s="1"/>
  <c r="N100" i="1"/>
  <c r="U100" i="1" s="1"/>
  <c r="L100" i="1"/>
  <c r="O100" i="1" s="1"/>
  <c r="S99" i="1"/>
  <c r="Q99" i="1"/>
  <c r="T99" i="1" s="1"/>
  <c r="N99" i="1"/>
  <c r="L99" i="1"/>
  <c r="O99" i="1" s="1"/>
  <c r="V99" i="1" l="1"/>
  <c r="U99" i="1"/>
  <c r="V100" i="1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Q13" i="2"/>
  <c r="T13" i="2" s="1"/>
  <c r="Q14" i="2"/>
  <c r="T14" i="2" s="1"/>
  <c r="Q15" i="2"/>
  <c r="T15" i="2" s="1"/>
  <c r="Q16" i="2"/>
  <c r="T16" i="2" s="1"/>
  <c r="Q17" i="2"/>
  <c r="T17" i="2" s="1"/>
  <c r="Q18" i="2"/>
  <c r="T18" i="2" s="1"/>
  <c r="Q19" i="2"/>
  <c r="T19" i="2" s="1"/>
  <c r="Q20" i="2"/>
  <c r="T20" i="2" s="1"/>
  <c r="Q21" i="2"/>
  <c r="T21" i="2" s="1"/>
  <c r="Q22" i="2"/>
  <c r="T22" i="2" s="1"/>
  <c r="Q23" i="2"/>
  <c r="T23" i="2" s="1"/>
  <c r="Q24" i="2"/>
  <c r="T24" i="2" s="1"/>
  <c r="Q25" i="2"/>
  <c r="T25" i="2" s="1"/>
  <c r="Q26" i="2"/>
  <c r="T26" i="2" s="1"/>
  <c r="Q27" i="2"/>
  <c r="T27" i="2" s="1"/>
  <c r="Q28" i="2"/>
  <c r="T28" i="2" s="1"/>
  <c r="Q29" i="2"/>
  <c r="T29" i="2" s="1"/>
  <c r="Q30" i="2"/>
  <c r="T30" i="2" s="1"/>
  <c r="Q31" i="2"/>
  <c r="T31" i="2" s="1"/>
  <c r="Q32" i="2"/>
  <c r="T32" i="2" s="1"/>
  <c r="Q33" i="2"/>
  <c r="T33" i="2" s="1"/>
  <c r="Q34" i="2"/>
  <c r="T34" i="2" s="1"/>
  <c r="Q35" i="2"/>
  <c r="T35" i="2" s="1"/>
  <c r="Q36" i="2"/>
  <c r="T36" i="2" s="1"/>
  <c r="Q37" i="2"/>
  <c r="T37" i="2" s="1"/>
  <c r="Q38" i="2"/>
  <c r="T38" i="2" s="1"/>
  <c r="Q39" i="2"/>
  <c r="T39" i="2" s="1"/>
  <c r="Q40" i="2"/>
  <c r="T40" i="2" s="1"/>
  <c r="Q41" i="2"/>
  <c r="T41" i="2" s="1"/>
  <c r="Q42" i="2"/>
  <c r="T42" i="2" s="1"/>
  <c r="Q43" i="2"/>
  <c r="T43" i="2" s="1"/>
  <c r="Q44" i="2"/>
  <c r="T44" i="2" s="1"/>
  <c r="Q45" i="2"/>
  <c r="T45" i="2" s="1"/>
  <c r="Q46" i="2"/>
  <c r="T46" i="2" s="1"/>
  <c r="Q47" i="2"/>
  <c r="T47" i="2" s="1"/>
  <c r="Q48" i="2"/>
  <c r="T48" i="2" s="1"/>
  <c r="Q49" i="2"/>
  <c r="T49" i="2" s="1"/>
  <c r="Q50" i="2"/>
  <c r="T50" i="2" s="1"/>
  <c r="Q51" i="2"/>
  <c r="T51" i="2" s="1"/>
  <c r="Q52" i="2"/>
  <c r="T52" i="2" s="1"/>
  <c r="Q53" i="2"/>
  <c r="T53" i="2" s="1"/>
  <c r="Q54" i="2"/>
  <c r="T54" i="2" s="1"/>
  <c r="Q55" i="2"/>
  <c r="T55" i="2" s="1"/>
  <c r="Q56" i="2"/>
  <c r="T56" i="2" s="1"/>
  <c r="Q57" i="2"/>
  <c r="T57" i="2" s="1"/>
  <c r="Q58" i="2"/>
  <c r="T58" i="2" s="1"/>
  <c r="Q59" i="2"/>
  <c r="T59" i="2" s="1"/>
  <c r="Q60" i="2"/>
  <c r="T60" i="2" s="1"/>
  <c r="Q61" i="2"/>
  <c r="T61" i="2" s="1"/>
  <c r="Q62" i="2"/>
  <c r="T62" i="2" s="1"/>
  <c r="Q63" i="2"/>
  <c r="T63" i="2" s="1"/>
  <c r="Q64" i="2"/>
  <c r="T64" i="2" s="1"/>
  <c r="Q65" i="2"/>
  <c r="T65" i="2" s="1"/>
  <c r="Q66" i="2"/>
  <c r="T66" i="2" s="1"/>
  <c r="Q67" i="2"/>
  <c r="T67" i="2" s="1"/>
  <c r="Q68" i="2"/>
  <c r="T68" i="2" s="1"/>
  <c r="Q69" i="2"/>
  <c r="T69" i="2" s="1"/>
  <c r="Q70" i="2"/>
  <c r="T70" i="2" s="1"/>
  <c r="Q71" i="2"/>
  <c r="T71" i="2" s="1"/>
  <c r="Q72" i="2"/>
  <c r="T72" i="2" s="1"/>
  <c r="Q73" i="2"/>
  <c r="T73" i="2" s="1"/>
  <c r="Q74" i="2"/>
  <c r="T74" i="2" s="1"/>
  <c r="Q75" i="2"/>
  <c r="T75" i="2" s="1"/>
  <c r="Q76" i="2"/>
  <c r="T76" i="2" s="1"/>
  <c r="Q77" i="2"/>
  <c r="T77" i="2" s="1"/>
  <c r="Q78" i="2"/>
  <c r="T78" i="2" s="1"/>
  <c r="Q79" i="2"/>
  <c r="T79" i="2" s="1"/>
  <c r="Q80" i="2"/>
  <c r="T80" i="2" s="1"/>
  <c r="Q81" i="2"/>
  <c r="T81" i="2" s="1"/>
  <c r="Q82" i="2"/>
  <c r="T82" i="2" s="1"/>
  <c r="Q83" i="2"/>
  <c r="T83" i="2" s="1"/>
  <c r="Q84" i="2"/>
  <c r="T84" i="2" s="1"/>
  <c r="Q85" i="2"/>
  <c r="T85" i="2" s="1"/>
  <c r="Q86" i="2"/>
  <c r="T86" i="2" s="1"/>
  <c r="Q87" i="2"/>
  <c r="T87" i="2" s="1"/>
  <c r="Q88" i="2"/>
  <c r="T88" i="2" s="1"/>
  <c r="Q89" i="2"/>
  <c r="T89" i="2" s="1"/>
  <c r="Q90" i="2"/>
  <c r="T90" i="2" s="1"/>
  <c r="Q91" i="2"/>
  <c r="T91" i="2" s="1"/>
  <c r="Q92" i="2"/>
  <c r="T92" i="2" s="1"/>
  <c r="Q93" i="2"/>
  <c r="T93" i="2" s="1"/>
  <c r="Q94" i="2"/>
  <c r="T94" i="2" s="1"/>
  <c r="Q95" i="2"/>
  <c r="T95" i="2" s="1"/>
  <c r="Q96" i="2"/>
  <c r="T96" i="2" s="1"/>
  <c r="Q97" i="2"/>
  <c r="T97" i="2" s="1"/>
  <c r="Q98" i="2"/>
  <c r="T98" i="2" s="1"/>
  <c r="Q99" i="2"/>
  <c r="T99" i="2" s="1"/>
  <c r="Q100" i="2"/>
  <c r="T100" i="2" s="1"/>
  <c r="N13" i="2"/>
  <c r="N14" i="2"/>
  <c r="N15" i="2"/>
  <c r="N16" i="2"/>
  <c r="N17" i="2"/>
  <c r="N18" i="2"/>
  <c r="N19" i="2"/>
  <c r="N20" i="2"/>
  <c r="U20" i="2" s="1"/>
  <c r="N21" i="2"/>
  <c r="N22" i="2"/>
  <c r="N23" i="2"/>
  <c r="N24" i="2"/>
  <c r="N25" i="2"/>
  <c r="N26" i="2"/>
  <c r="N27" i="2"/>
  <c r="N28" i="2"/>
  <c r="N29" i="2"/>
  <c r="N30" i="2"/>
  <c r="N31" i="2"/>
  <c r="N32" i="2"/>
  <c r="U32" i="2" s="1"/>
  <c r="N33" i="2"/>
  <c r="N34" i="2"/>
  <c r="N35" i="2"/>
  <c r="N36" i="2"/>
  <c r="N37" i="2"/>
  <c r="N38" i="2"/>
  <c r="N39" i="2"/>
  <c r="N40" i="2"/>
  <c r="N41" i="2"/>
  <c r="N42" i="2"/>
  <c r="N43" i="2"/>
  <c r="N44" i="2"/>
  <c r="U44" i="2" s="1"/>
  <c r="N45" i="2"/>
  <c r="N46" i="2"/>
  <c r="N47" i="2"/>
  <c r="N48" i="2"/>
  <c r="N49" i="2"/>
  <c r="N50" i="2"/>
  <c r="N51" i="2"/>
  <c r="N52" i="2"/>
  <c r="N53" i="2"/>
  <c r="N54" i="2"/>
  <c r="N55" i="2"/>
  <c r="N56" i="2"/>
  <c r="U56" i="2" s="1"/>
  <c r="N57" i="2"/>
  <c r="N58" i="2"/>
  <c r="N59" i="2"/>
  <c r="N60" i="2"/>
  <c r="N61" i="2"/>
  <c r="N62" i="2"/>
  <c r="N63" i="2"/>
  <c r="N64" i="2"/>
  <c r="N65" i="2"/>
  <c r="N66" i="2"/>
  <c r="N67" i="2"/>
  <c r="N68" i="2"/>
  <c r="U68" i="2" s="1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U92" i="2" s="1"/>
  <c r="N93" i="2"/>
  <c r="N94" i="2"/>
  <c r="N95" i="2"/>
  <c r="N96" i="2"/>
  <c r="N97" i="2"/>
  <c r="N98" i="2"/>
  <c r="N99" i="2"/>
  <c r="N100" i="2"/>
  <c r="L13" i="2"/>
  <c r="O13" i="2" s="1"/>
  <c r="L14" i="2"/>
  <c r="O14" i="2" s="1"/>
  <c r="L15" i="2"/>
  <c r="O15" i="2" s="1"/>
  <c r="L16" i="2"/>
  <c r="O16" i="2" s="1"/>
  <c r="L17" i="2"/>
  <c r="O17" i="2" s="1"/>
  <c r="L18" i="2"/>
  <c r="O18" i="2" s="1"/>
  <c r="L19" i="2"/>
  <c r="O19" i="2" s="1"/>
  <c r="L20" i="2"/>
  <c r="O20" i="2" s="1"/>
  <c r="L21" i="2"/>
  <c r="O21" i="2" s="1"/>
  <c r="L22" i="2"/>
  <c r="O22" i="2" s="1"/>
  <c r="L23" i="2"/>
  <c r="O23" i="2" s="1"/>
  <c r="L24" i="2"/>
  <c r="O24" i="2" s="1"/>
  <c r="L25" i="2"/>
  <c r="O25" i="2" s="1"/>
  <c r="L26" i="2"/>
  <c r="O26" i="2" s="1"/>
  <c r="L27" i="2"/>
  <c r="O27" i="2" s="1"/>
  <c r="L28" i="2"/>
  <c r="O28" i="2" s="1"/>
  <c r="L29" i="2"/>
  <c r="O29" i="2" s="1"/>
  <c r="L30" i="2"/>
  <c r="O30" i="2" s="1"/>
  <c r="L31" i="2"/>
  <c r="O31" i="2" s="1"/>
  <c r="L32" i="2"/>
  <c r="O32" i="2" s="1"/>
  <c r="L33" i="2"/>
  <c r="O33" i="2" s="1"/>
  <c r="L34" i="2"/>
  <c r="O34" i="2" s="1"/>
  <c r="L35" i="2"/>
  <c r="O35" i="2" s="1"/>
  <c r="L36" i="2"/>
  <c r="O36" i="2" s="1"/>
  <c r="L37" i="2"/>
  <c r="O37" i="2" s="1"/>
  <c r="L38" i="2"/>
  <c r="O38" i="2" s="1"/>
  <c r="L39" i="2"/>
  <c r="O39" i="2" s="1"/>
  <c r="L40" i="2"/>
  <c r="O40" i="2" s="1"/>
  <c r="L41" i="2"/>
  <c r="O41" i="2" s="1"/>
  <c r="L42" i="2"/>
  <c r="O42" i="2" s="1"/>
  <c r="L43" i="2"/>
  <c r="O43" i="2" s="1"/>
  <c r="L44" i="2"/>
  <c r="O44" i="2" s="1"/>
  <c r="L45" i="2"/>
  <c r="O45" i="2" s="1"/>
  <c r="L46" i="2"/>
  <c r="O46" i="2" s="1"/>
  <c r="L47" i="2"/>
  <c r="O47" i="2" s="1"/>
  <c r="L48" i="2"/>
  <c r="O48" i="2" s="1"/>
  <c r="L49" i="2"/>
  <c r="O49" i="2" s="1"/>
  <c r="L50" i="2"/>
  <c r="O50" i="2" s="1"/>
  <c r="L51" i="2"/>
  <c r="O51" i="2" s="1"/>
  <c r="L52" i="2"/>
  <c r="O52" i="2" s="1"/>
  <c r="L53" i="2"/>
  <c r="O53" i="2" s="1"/>
  <c r="L54" i="2"/>
  <c r="O54" i="2" s="1"/>
  <c r="L55" i="2"/>
  <c r="O55" i="2" s="1"/>
  <c r="L56" i="2"/>
  <c r="O56" i="2" s="1"/>
  <c r="L57" i="2"/>
  <c r="O57" i="2" s="1"/>
  <c r="L58" i="2"/>
  <c r="O58" i="2" s="1"/>
  <c r="L59" i="2"/>
  <c r="O59" i="2" s="1"/>
  <c r="L60" i="2"/>
  <c r="O60" i="2" s="1"/>
  <c r="L61" i="2"/>
  <c r="O61" i="2" s="1"/>
  <c r="L62" i="2"/>
  <c r="O62" i="2" s="1"/>
  <c r="L63" i="2"/>
  <c r="O63" i="2" s="1"/>
  <c r="L64" i="2"/>
  <c r="O64" i="2" s="1"/>
  <c r="L65" i="2"/>
  <c r="O65" i="2" s="1"/>
  <c r="L66" i="2"/>
  <c r="O66" i="2" s="1"/>
  <c r="L67" i="2"/>
  <c r="O67" i="2" s="1"/>
  <c r="L68" i="2"/>
  <c r="O68" i="2" s="1"/>
  <c r="L69" i="2"/>
  <c r="O69" i="2" s="1"/>
  <c r="L70" i="2"/>
  <c r="O70" i="2" s="1"/>
  <c r="L71" i="2"/>
  <c r="O71" i="2" s="1"/>
  <c r="L72" i="2"/>
  <c r="O72" i="2" s="1"/>
  <c r="L73" i="2"/>
  <c r="O73" i="2" s="1"/>
  <c r="L74" i="2"/>
  <c r="O74" i="2" s="1"/>
  <c r="L75" i="2"/>
  <c r="O75" i="2" s="1"/>
  <c r="L76" i="2"/>
  <c r="O76" i="2" s="1"/>
  <c r="L77" i="2"/>
  <c r="O77" i="2" s="1"/>
  <c r="L78" i="2"/>
  <c r="O78" i="2" s="1"/>
  <c r="L79" i="2"/>
  <c r="O79" i="2" s="1"/>
  <c r="L80" i="2"/>
  <c r="O80" i="2" s="1"/>
  <c r="L81" i="2"/>
  <c r="O81" i="2" s="1"/>
  <c r="L82" i="2"/>
  <c r="O82" i="2" s="1"/>
  <c r="L83" i="2"/>
  <c r="O83" i="2" s="1"/>
  <c r="L84" i="2"/>
  <c r="O84" i="2" s="1"/>
  <c r="L85" i="2"/>
  <c r="O85" i="2" s="1"/>
  <c r="L86" i="2"/>
  <c r="O86" i="2" s="1"/>
  <c r="L87" i="2"/>
  <c r="O87" i="2" s="1"/>
  <c r="L88" i="2"/>
  <c r="O88" i="2" s="1"/>
  <c r="L89" i="2"/>
  <c r="O89" i="2" s="1"/>
  <c r="L90" i="2"/>
  <c r="O90" i="2" s="1"/>
  <c r="L91" i="2"/>
  <c r="O91" i="2" s="1"/>
  <c r="L92" i="2"/>
  <c r="O92" i="2" s="1"/>
  <c r="L93" i="2"/>
  <c r="O93" i="2" s="1"/>
  <c r="L94" i="2"/>
  <c r="O94" i="2" s="1"/>
  <c r="L95" i="2"/>
  <c r="O95" i="2" s="1"/>
  <c r="L96" i="2"/>
  <c r="O96" i="2" s="1"/>
  <c r="L97" i="2"/>
  <c r="O97" i="2" s="1"/>
  <c r="L98" i="2"/>
  <c r="O98" i="2" s="1"/>
  <c r="L99" i="2"/>
  <c r="O99" i="2" s="1"/>
  <c r="L100" i="2"/>
  <c r="O100" i="2" s="1"/>
  <c r="S6" i="1"/>
  <c r="S7" i="1"/>
  <c r="S8" i="1"/>
  <c r="S9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L110" i="1"/>
  <c r="O110" i="1" s="1"/>
  <c r="N110" i="1"/>
  <c r="Q110" i="1"/>
  <c r="T110" i="1" s="1"/>
  <c r="U91" i="2" l="1"/>
  <c r="U79" i="2"/>
  <c r="U67" i="2"/>
  <c r="U55" i="2"/>
  <c r="U43" i="2"/>
  <c r="U31" i="2"/>
  <c r="V86" i="2"/>
  <c r="V62" i="2"/>
  <c r="V50" i="2"/>
  <c r="V38" i="2"/>
  <c r="V26" i="2"/>
  <c r="U16" i="2"/>
  <c r="U15" i="2"/>
  <c r="U72" i="2"/>
  <c r="V14" i="2"/>
  <c r="U95" i="2"/>
  <c r="U83" i="2"/>
  <c r="U71" i="2"/>
  <c r="U59" i="2"/>
  <c r="U47" i="2"/>
  <c r="U35" i="2"/>
  <c r="U23" i="2"/>
  <c r="U84" i="2"/>
  <c r="U36" i="2"/>
  <c r="U24" i="2"/>
  <c r="U96" i="2"/>
  <c r="U60" i="2"/>
  <c r="U48" i="2"/>
  <c r="V94" i="2"/>
  <c r="V82" i="2"/>
  <c r="V70" i="2"/>
  <c r="V58" i="2"/>
  <c r="V46" i="2"/>
  <c r="V34" i="2"/>
  <c r="V22" i="2"/>
  <c r="U87" i="2"/>
  <c r="U75" i="2"/>
  <c r="U63" i="2"/>
  <c r="U51" i="2"/>
  <c r="U39" i="2"/>
  <c r="U27" i="2"/>
  <c r="U17" i="2"/>
  <c r="V13" i="2"/>
  <c r="U94" i="2"/>
  <c r="U82" i="2"/>
  <c r="U70" i="2"/>
  <c r="U58" i="2"/>
  <c r="U46" i="2"/>
  <c r="U34" i="2"/>
  <c r="U22" i="2"/>
  <c r="U93" i="2"/>
  <c r="U81" i="2"/>
  <c r="U69" i="2"/>
  <c r="U57" i="2"/>
  <c r="U45" i="2"/>
  <c r="U33" i="2"/>
  <c r="U21" i="2"/>
  <c r="V27" i="2"/>
  <c r="V17" i="2"/>
  <c r="V98" i="2"/>
  <c r="V97" i="2"/>
  <c r="V85" i="2"/>
  <c r="V73" i="2"/>
  <c r="V61" i="2"/>
  <c r="V49" i="2"/>
  <c r="V37" i="2"/>
  <c r="V25" i="2"/>
  <c r="U99" i="2"/>
  <c r="U90" i="2"/>
  <c r="U66" i="2"/>
  <c r="U54" i="2"/>
  <c r="U42" i="2"/>
  <c r="U30" i="2"/>
  <c r="U98" i="2"/>
  <c r="U89" i="2"/>
  <c r="U77" i="2"/>
  <c r="U65" i="2"/>
  <c r="U53" i="2"/>
  <c r="U41" i="2"/>
  <c r="U29" i="2"/>
  <c r="U19" i="2"/>
  <c r="V66" i="2"/>
  <c r="V89" i="2"/>
  <c r="V77" i="2"/>
  <c r="U62" i="2"/>
  <c r="U26" i="2"/>
  <c r="U14" i="2"/>
  <c r="V90" i="2"/>
  <c r="U110" i="1"/>
  <c r="V87" i="2"/>
  <c r="V63" i="2"/>
  <c r="V51" i="2"/>
  <c r="V95" i="2"/>
  <c r="V83" i="2"/>
  <c r="V71" i="2"/>
  <c r="V59" i="2"/>
  <c r="V47" i="2"/>
  <c r="V35" i="2"/>
  <c r="V23" i="2"/>
  <c r="V15" i="2"/>
  <c r="U88" i="2"/>
  <c r="U64" i="2"/>
  <c r="U52" i="2"/>
  <c r="U40" i="2"/>
  <c r="U28" i="2"/>
  <c r="U18" i="2"/>
  <c r="U86" i="2"/>
  <c r="U50" i="2"/>
  <c r="U38" i="2"/>
  <c r="V69" i="2"/>
  <c r="V33" i="2"/>
  <c r="V32" i="2"/>
  <c r="V20" i="2"/>
  <c r="U100" i="2"/>
  <c r="U97" i="2"/>
  <c r="U85" i="2"/>
  <c r="U73" i="2"/>
  <c r="U61" i="2"/>
  <c r="U49" i="2"/>
  <c r="U37" i="2"/>
  <c r="U25" i="2"/>
  <c r="U13" i="2"/>
  <c r="V91" i="2"/>
  <c r="V79" i="2"/>
  <c r="V67" i="2"/>
  <c r="V55" i="2"/>
  <c r="V43" i="2"/>
  <c r="V31" i="2"/>
  <c r="V65" i="2"/>
  <c r="V53" i="2"/>
  <c r="V41" i="2"/>
  <c r="V29" i="2"/>
  <c r="V19" i="2"/>
  <c r="V54" i="2"/>
  <c r="V30" i="2"/>
  <c r="V88" i="2"/>
  <c r="V64" i="2"/>
  <c r="V52" i="2"/>
  <c r="V40" i="2"/>
  <c r="V28" i="2"/>
  <c r="V18" i="2"/>
  <c r="V100" i="2"/>
  <c r="V93" i="2"/>
  <c r="V81" i="2"/>
  <c r="V57" i="2"/>
  <c r="V45" i="2"/>
  <c r="V21" i="2"/>
  <c r="V68" i="2"/>
  <c r="V44" i="2"/>
  <c r="V99" i="2"/>
  <c r="V92" i="2"/>
  <c r="V56" i="2"/>
  <c r="V42" i="2"/>
  <c r="V75" i="2"/>
  <c r="V39" i="2"/>
  <c r="V96" i="2"/>
  <c r="V84" i="2"/>
  <c r="V72" i="2"/>
  <c r="V60" i="2"/>
  <c r="V48" i="2"/>
  <c r="V36" i="2"/>
  <c r="V24" i="2"/>
  <c r="V16" i="2"/>
  <c r="V110" i="1"/>
  <c r="Q6" i="1"/>
  <c r="T6" i="1" s="1"/>
  <c r="Q7" i="1"/>
  <c r="T7" i="1" s="1"/>
  <c r="Q8" i="1"/>
  <c r="T8" i="1" s="1"/>
  <c r="Q9" i="1"/>
  <c r="T9" i="1" s="1"/>
  <c r="Q16" i="1"/>
  <c r="T16" i="1" s="1"/>
  <c r="Q17" i="1"/>
  <c r="T17" i="1" s="1"/>
  <c r="Q18" i="1"/>
  <c r="T18" i="1" s="1"/>
  <c r="Q19" i="1"/>
  <c r="T19" i="1" s="1"/>
  <c r="Q20" i="1"/>
  <c r="T20" i="1" s="1"/>
  <c r="Q21" i="1"/>
  <c r="T21" i="1" s="1"/>
  <c r="Q22" i="1"/>
  <c r="T22" i="1" s="1"/>
  <c r="Q23" i="1"/>
  <c r="T23" i="1" s="1"/>
  <c r="Q24" i="1"/>
  <c r="T24" i="1" s="1"/>
  <c r="Q25" i="1"/>
  <c r="T25" i="1" s="1"/>
  <c r="Q26" i="1"/>
  <c r="T26" i="1" s="1"/>
  <c r="Q27" i="1"/>
  <c r="T27" i="1" s="1"/>
  <c r="Q28" i="1"/>
  <c r="T28" i="1" s="1"/>
  <c r="Q29" i="1"/>
  <c r="T29" i="1" s="1"/>
  <c r="Q30" i="1"/>
  <c r="T30" i="1" s="1"/>
  <c r="Q31" i="1"/>
  <c r="T31" i="1" s="1"/>
  <c r="Q32" i="1"/>
  <c r="T32" i="1" s="1"/>
  <c r="Q33" i="1"/>
  <c r="T33" i="1" s="1"/>
  <c r="Q38" i="1"/>
  <c r="T38" i="1" s="1"/>
  <c r="Q39" i="1"/>
  <c r="T39" i="1" s="1"/>
  <c r="Q40" i="1"/>
  <c r="T40" i="1" s="1"/>
  <c r="Q41" i="1"/>
  <c r="T41" i="1" s="1"/>
  <c r="Q42" i="1"/>
  <c r="T42" i="1" s="1"/>
  <c r="Q43" i="1"/>
  <c r="T43" i="1" s="1"/>
  <c r="Q44" i="1"/>
  <c r="T44" i="1" s="1"/>
  <c r="Q45" i="1"/>
  <c r="T45" i="1" s="1"/>
  <c r="Q46" i="1"/>
  <c r="T46" i="1" s="1"/>
  <c r="Q47" i="1"/>
  <c r="T47" i="1" s="1"/>
  <c r="Q48" i="1"/>
  <c r="T48" i="1" s="1"/>
  <c r="Q49" i="1"/>
  <c r="T49" i="1" s="1"/>
  <c r="Q50" i="1"/>
  <c r="T50" i="1" s="1"/>
  <c r="Q51" i="1"/>
  <c r="T51" i="1" s="1"/>
  <c r="Q52" i="1"/>
  <c r="T52" i="1" s="1"/>
  <c r="Q53" i="1"/>
  <c r="T53" i="1" s="1"/>
  <c r="Q54" i="1"/>
  <c r="T54" i="1" s="1"/>
  <c r="Q55" i="1"/>
  <c r="T55" i="1" s="1"/>
  <c r="Q56" i="1"/>
  <c r="T56" i="1" s="1"/>
  <c r="Q57" i="1"/>
  <c r="T57" i="1" s="1"/>
  <c r="Q58" i="1"/>
  <c r="T58" i="1" s="1"/>
  <c r="Q59" i="1"/>
  <c r="T59" i="1" s="1"/>
  <c r="Q60" i="1"/>
  <c r="T60" i="1" s="1"/>
  <c r="Q61" i="1"/>
  <c r="T61" i="1" s="1"/>
  <c r="Q62" i="1"/>
  <c r="T62" i="1" s="1"/>
  <c r="Q63" i="1"/>
  <c r="T63" i="1" s="1"/>
  <c r="Q64" i="1"/>
  <c r="T64" i="1" s="1"/>
  <c r="Q65" i="1"/>
  <c r="T65" i="1" s="1"/>
  <c r="Q66" i="1"/>
  <c r="T66" i="1" s="1"/>
  <c r="Q67" i="1"/>
  <c r="T67" i="1" s="1"/>
  <c r="Q68" i="1"/>
  <c r="T68" i="1" s="1"/>
  <c r="Q69" i="1"/>
  <c r="T69" i="1" s="1"/>
  <c r="Q70" i="1"/>
  <c r="T70" i="1" s="1"/>
  <c r="Q71" i="1"/>
  <c r="T71" i="1" s="1"/>
  <c r="Q72" i="1"/>
  <c r="T72" i="1" s="1"/>
  <c r="Q73" i="1"/>
  <c r="T73" i="1" s="1"/>
  <c r="Q74" i="1"/>
  <c r="T74" i="1" s="1"/>
  <c r="Q75" i="1"/>
  <c r="T75" i="1" s="1"/>
  <c r="Q76" i="1"/>
  <c r="T76" i="1" s="1"/>
  <c r="Q77" i="1"/>
  <c r="T77" i="1" s="1"/>
  <c r="Q78" i="1"/>
  <c r="T78" i="1" s="1"/>
  <c r="Q79" i="1"/>
  <c r="T79" i="1" s="1"/>
  <c r="Q80" i="1"/>
  <c r="T80" i="1" s="1"/>
  <c r="Q81" i="1"/>
  <c r="T81" i="1" s="1"/>
  <c r="Q82" i="1"/>
  <c r="T82" i="1" s="1"/>
  <c r="Q83" i="1"/>
  <c r="T83" i="1" s="1"/>
  <c r="Q84" i="1"/>
  <c r="T84" i="1" s="1"/>
  <c r="Q85" i="1"/>
  <c r="T85" i="1" s="1"/>
  <c r="Q86" i="1"/>
  <c r="T86" i="1" s="1"/>
  <c r="Q87" i="1"/>
  <c r="T87" i="1" s="1"/>
  <c r="Q88" i="1"/>
  <c r="T88" i="1" s="1"/>
  <c r="Q89" i="1"/>
  <c r="T89" i="1" s="1"/>
  <c r="Q90" i="1"/>
  <c r="T90" i="1" s="1"/>
  <c r="Q91" i="1"/>
  <c r="T91" i="1" s="1"/>
  <c r="Q92" i="1"/>
  <c r="T92" i="1" s="1"/>
  <c r="Q93" i="1"/>
  <c r="T93" i="1" s="1"/>
  <c r="Q94" i="1"/>
  <c r="T94" i="1" s="1"/>
  <c r="Q95" i="1"/>
  <c r="T95" i="1" s="1"/>
  <c r="Q96" i="1"/>
  <c r="T96" i="1" s="1"/>
  <c r="Q97" i="1"/>
  <c r="T97" i="1" s="1"/>
  <c r="Q98" i="1"/>
  <c r="T98" i="1" s="1"/>
  <c r="Q101" i="1"/>
  <c r="T101" i="1" s="1"/>
  <c r="Q102" i="1"/>
  <c r="T102" i="1" s="1"/>
  <c r="Q103" i="1"/>
  <c r="T103" i="1" s="1"/>
  <c r="Q104" i="1"/>
  <c r="T104" i="1" s="1"/>
  <c r="Q105" i="1"/>
  <c r="T105" i="1" s="1"/>
  <c r="Q106" i="1"/>
  <c r="T106" i="1" s="1"/>
  <c r="Q107" i="1"/>
  <c r="T107" i="1" s="1"/>
  <c r="Q108" i="1"/>
  <c r="T108" i="1" s="1"/>
  <c r="Q109" i="1"/>
  <c r="T109" i="1" s="1"/>
  <c r="Q111" i="1"/>
  <c r="T111" i="1" s="1"/>
  <c r="Q112" i="1"/>
  <c r="T112" i="1" s="1"/>
  <c r="Q113" i="1"/>
  <c r="T113" i="1" s="1"/>
  <c r="Q114" i="1"/>
  <c r="T114" i="1" s="1"/>
  <c r="N6" i="1"/>
  <c r="U6" i="1" s="1"/>
  <c r="N7" i="1"/>
  <c r="U7" i="1" s="1"/>
  <c r="N8" i="1"/>
  <c r="U8" i="1" s="1"/>
  <c r="N9" i="1"/>
  <c r="U9" i="1" s="1"/>
  <c r="N16" i="1"/>
  <c r="U16" i="1" s="1"/>
  <c r="N17" i="1"/>
  <c r="U17" i="1" s="1"/>
  <c r="N18" i="1"/>
  <c r="U18" i="1" s="1"/>
  <c r="N19" i="1"/>
  <c r="U19" i="1" s="1"/>
  <c r="N20" i="1"/>
  <c r="U20" i="1" s="1"/>
  <c r="N21" i="1"/>
  <c r="U21" i="1" s="1"/>
  <c r="N22" i="1"/>
  <c r="U22" i="1" s="1"/>
  <c r="N23" i="1"/>
  <c r="U23" i="1" s="1"/>
  <c r="N24" i="1"/>
  <c r="U24" i="1" s="1"/>
  <c r="N25" i="1"/>
  <c r="U25" i="1" s="1"/>
  <c r="N26" i="1"/>
  <c r="U26" i="1" s="1"/>
  <c r="N27" i="1"/>
  <c r="U27" i="1" s="1"/>
  <c r="N28" i="1"/>
  <c r="U28" i="1" s="1"/>
  <c r="N29" i="1"/>
  <c r="U29" i="1" s="1"/>
  <c r="N30" i="1"/>
  <c r="U30" i="1" s="1"/>
  <c r="N31" i="1"/>
  <c r="U31" i="1" s="1"/>
  <c r="N32" i="1"/>
  <c r="U32" i="1" s="1"/>
  <c r="N33" i="1"/>
  <c r="U33" i="1" s="1"/>
  <c r="N38" i="1"/>
  <c r="U38" i="1" s="1"/>
  <c r="N39" i="1"/>
  <c r="U39" i="1" s="1"/>
  <c r="N40" i="1"/>
  <c r="U40" i="1" s="1"/>
  <c r="N41" i="1"/>
  <c r="U41" i="1" s="1"/>
  <c r="N42" i="1"/>
  <c r="U42" i="1" s="1"/>
  <c r="N43" i="1"/>
  <c r="U43" i="1" s="1"/>
  <c r="N44" i="1"/>
  <c r="U44" i="1" s="1"/>
  <c r="N45" i="1"/>
  <c r="U45" i="1" s="1"/>
  <c r="N46" i="1"/>
  <c r="U46" i="1" s="1"/>
  <c r="N47" i="1"/>
  <c r="U47" i="1" s="1"/>
  <c r="N48" i="1"/>
  <c r="U48" i="1" s="1"/>
  <c r="N49" i="1"/>
  <c r="U49" i="1" s="1"/>
  <c r="N50" i="1"/>
  <c r="U50" i="1" s="1"/>
  <c r="N51" i="1"/>
  <c r="U51" i="1" s="1"/>
  <c r="N52" i="1"/>
  <c r="U52" i="1" s="1"/>
  <c r="N53" i="1"/>
  <c r="U53" i="1" s="1"/>
  <c r="N54" i="1"/>
  <c r="U54" i="1" s="1"/>
  <c r="N55" i="1"/>
  <c r="U55" i="1" s="1"/>
  <c r="N56" i="1"/>
  <c r="U56" i="1" s="1"/>
  <c r="N57" i="1"/>
  <c r="U57" i="1" s="1"/>
  <c r="N58" i="1"/>
  <c r="U58" i="1" s="1"/>
  <c r="N59" i="1"/>
  <c r="U59" i="1" s="1"/>
  <c r="N60" i="1"/>
  <c r="U60" i="1" s="1"/>
  <c r="N61" i="1"/>
  <c r="U61" i="1" s="1"/>
  <c r="N62" i="1"/>
  <c r="U62" i="1" s="1"/>
  <c r="N63" i="1"/>
  <c r="U63" i="1" s="1"/>
  <c r="N64" i="1"/>
  <c r="U64" i="1" s="1"/>
  <c r="N65" i="1"/>
  <c r="U65" i="1" s="1"/>
  <c r="N66" i="1"/>
  <c r="U66" i="1" s="1"/>
  <c r="N67" i="1"/>
  <c r="U67" i="1" s="1"/>
  <c r="N68" i="1"/>
  <c r="U68" i="1" s="1"/>
  <c r="N69" i="1"/>
  <c r="U69" i="1" s="1"/>
  <c r="N70" i="1"/>
  <c r="U70" i="1" s="1"/>
  <c r="N71" i="1"/>
  <c r="U71" i="1" s="1"/>
  <c r="N72" i="1"/>
  <c r="U72" i="1" s="1"/>
  <c r="N73" i="1"/>
  <c r="U73" i="1" s="1"/>
  <c r="N74" i="1"/>
  <c r="U74" i="1" s="1"/>
  <c r="N75" i="1"/>
  <c r="U75" i="1" s="1"/>
  <c r="N76" i="1"/>
  <c r="U76" i="1" s="1"/>
  <c r="N77" i="1"/>
  <c r="U77" i="1" s="1"/>
  <c r="N78" i="1"/>
  <c r="U78" i="1" s="1"/>
  <c r="N79" i="1"/>
  <c r="N80" i="1"/>
  <c r="U80" i="1" s="1"/>
  <c r="N81" i="1"/>
  <c r="N82" i="1"/>
  <c r="U82" i="1" s="1"/>
  <c r="N83" i="1"/>
  <c r="N84" i="1"/>
  <c r="U84" i="1" s="1"/>
  <c r="N85" i="1"/>
  <c r="U85" i="1" s="1"/>
  <c r="N86" i="1"/>
  <c r="U86" i="1" s="1"/>
  <c r="N87" i="1"/>
  <c r="U87" i="1" s="1"/>
  <c r="N88" i="1"/>
  <c r="U88" i="1" s="1"/>
  <c r="N89" i="1"/>
  <c r="U89" i="1" s="1"/>
  <c r="N90" i="1"/>
  <c r="U90" i="1" s="1"/>
  <c r="N91" i="1"/>
  <c r="U91" i="1" s="1"/>
  <c r="N92" i="1"/>
  <c r="U92" i="1" s="1"/>
  <c r="N93" i="1"/>
  <c r="U93" i="1" s="1"/>
  <c r="N94" i="1"/>
  <c r="U94" i="1" s="1"/>
  <c r="N95" i="1"/>
  <c r="U95" i="1" s="1"/>
  <c r="N96" i="1"/>
  <c r="U96" i="1" s="1"/>
  <c r="N97" i="1"/>
  <c r="U97" i="1" s="1"/>
  <c r="N98" i="1"/>
  <c r="U98" i="1" s="1"/>
  <c r="N101" i="1"/>
  <c r="U101" i="1" s="1"/>
  <c r="N102" i="1"/>
  <c r="U102" i="1" s="1"/>
  <c r="N103" i="1"/>
  <c r="U103" i="1" s="1"/>
  <c r="N104" i="1"/>
  <c r="U104" i="1" s="1"/>
  <c r="N105" i="1"/>
  <c r="U105" i="1" s="1"/>
  <c r="N106" i="1"/>
  <c r="U106" i="1" s="1"/>
  <c r="N107" i="1"/>
  <c r="U107" i="1" s="1"/>
  <c r="N108" i="1"/>
  <c r="U108" i="1" s="1"/>
  <c r="N109" i="1"/>
  <c r="U109" i="1" s="1"/>
  <c r="N111" i="1"/>
  <c r="U111" i="1" s="1"/>
  <c r="N112" i="1"/>
  <c r="U112" i="1" s="1"/>
  <c r="N113" i="1"/>
  <c r="U113" i="1" s="1"/>
  <c r="N114" i="1"/>
  <c r="U114" i="1" s="1"/>
  <c r="L28" i="1"/>
  <c r="O28" i="1" s="1"/>
  <c r="L29" i="1"/>
  <c r="O29" i="1" s="1"/>
  <c r="L30" i="1"/>
  <c r="O30" i="1" s="1"/>
  <c r="L31" i="1"/>
  <c r="O31" i="1" s="1"/>
  <c r="L32" i="1"/>
  <c r="O32" i="1" s="1"/>
  <c r="L33" i="1"/>
  <c r="O33" i="1" s="1"/>
  <c r="L38" i="1"/>
  <c r="O38" i="1" s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59" i="1"/>
  <c r="O59" i="1" s="1"/>
  <c r="L60" i="1"/>
  <c r="O60" i="1" s="1"/>
  <c r="L61" i="1"/>
  <c r="O61" i="1" s="1"/>
  <c r="L62" i="1"/>
  <c r="O62" i="1" s="1"/>
  <c r="L63" i="1"/>
  <c r="O63" i="1" s="1"/>
  <c r="L64" i="1"/>
  <c r="O64" i="1" s="1"/>
  <c r="L65" i="1"/>
  <c r="O65" i="1" s="1"/>
  <c r="L66" i="1"/>
  <c r="O66" i="1" s="1"/>
  <c r="L67" i="1"/>
  <c r="O67" i="1" s="1"/>
  <c r="L68" i="1"/>
  <c r="O68" i="1" s="1"/>
  <c r="L69" i="1"/>
  <c r="O69" i="1" s="1"/>
  <c r="L70" i="1"/>
  <c r="O70" i="1" s="1"/>
  <c r="L71" i="1"/>
  <c r="O71" i="1" s="1"/>
  <c r="L72" i="1"/>
  <c r="O72" i="1" s="1"/>
  <c r="L73" i="1"/>
  <c r="O73" i="1" s="1"/>
  <c r="L74" i="1"/>
  <c r="O74" i="1" s="1"/>
  <c r="L75" i="1"/>
  <c r="O75" i="1" s="1"/>
  <c r="L76" i="1"/>
  <c r="O76" i="1" s="1"/>
  <c r="L77" i="1"/>
  <c r="O77" i="1" s="1"/>
  <c r="L78" i="1"/>
  <c r="O78" i="1" s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L91" i="1"/>
  <c r="O91" i="1" s="1"/>
  <c r="L92" i="1"/>
  <c r="O92" i="1" s="1"/>
  <c r="L93" i="1"/>
  <c r="O93" i="1" s="1"/>
  <c r="L94" i="1"/>
  <c r="O94" i="1" s="1"/>
  <c r="L95" i="1"/>
  <c r="O95" i="1" s="1"/>
  <c r="L96" i="1"/>
  <c r="O96" i="1" s="1"/>
  <c r="L97" i="1"/>
  <c r="O97" i="1" s="1"/>
  <c r="L98" i="1"/>
  <c r="O98" i="1" s="1"/>
  <c r="L101" i="1"/>
  <c r="O101" i="1" s="1"/>
  <c r="L102" i="1"/>
  <c r="O102" i="1" s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O109" i="1" s="1"/>
  <c r="L111" i="1"/>
  <c r="O111" i="1" s="1"/>
  <c r="L112" i="1"/>
  <c r="O112" i="1" s="1"/>
  <c r="L113" i="1"/>
  <c r="O113" i="1" s="1"/>
  <c r="L114" i="1"/>
  <c r="O114" i="1" s="1"/>
  <c r="V38" i="1" l="1"/>
  <c r="V101" i="1"/>
  <c r="V87" i="1"/>
  <c r="V80" i="1"/>
  <c r="V68" i="1"/>
  <c r="V56" i="1"/>
  <c r="V44" i="1"/>
  <c r="V31" i="1"/>
  <c r="V98" i="1"/>
  <c r="V30" i="1"/>
  <c r="V86" i="1"/>
  <c r="V55" i="1"/>
  <c r="V43" i="1"/>
  <c r="V67" i="1"/>
  <c r="V69" i="1"/>
  <c r="V57" i="1"/>
  <c r="V32" i="1"/>
  <c r="V45" i="1"/>
  <c r="V97" i="1"/>
  <c r="V65" i="1"/>
  <c r="V113" i="1"/>
  <c r="V108" i="1"/>
  <c r="V94" i="1"/>
  <c r="V84" i="1"/>
  <c r="V76" i="1"/>
  <c r="V64" i="1"/>
  <c r="V52" i="1"/>
  <c r="V40" i="1"/>
  <c r="V95" i="1"/>
  <c r="V41" i="1"/>
  <c r="V114" i="1"/>
  <c r="V85" i="1"/>
  <c r="V28" i="1"/>
  <c r="V77" i="1"/>
  <c r="V53" i="1"/>
  <c r="V96" i="1"/>
  <c r="V78" i="1"/>
  <c r="V66" i="1"/>
  <c r="V54" i="1"/>
  <c r="V42" i="1"/>
  <c r="V29" i="1"/>
  <c r="V111" i="1"/>
  <c r="V107" i="1"/>
  <c r="V93" i="1"/>
  <c r="V75" i="1"/>
  <c r="V63" i="1"/>
  <c r="V51" i="1"/>
  <c r="V92" i="1"/>
  <c r="V62" i="1"/>
  <c r="V39" i="1"/>
  <c r="V112" i="1"/>
  <c r="V104" i="1"/>
  <c r="V90" i="1"/>
  <c r="V72" i="1"/>
  <c r="V60" i="1"/>
  <c r="V48" i="1"/>
  <c r="V82" i="1"/>
  <c r="V91" i="1"/>
  <c r="V73" i="1"/>
  <c r="V49" i="1"/>
  <c r="V103" i="1"/>
  <c r="V89" i="1"/>
  <c r="V71" i="1"/>
  <c r="V59" i="1"/>
  <c r="V47" i="1"/>
  <c r="V106" i="1"/>
  <c r="V74" i="1"/>
  <c r="V50" i="1"/>
  <c r="V105" i="1"/>
  <c r="V61" i="1"/>
  <c r="V109" i="1"/>
  <c r="V102" i="1"/>
  <c r="V88" i="1"/>
  <c r="V70" i="1"/>
  <c r="V58" i="1"/>
  <c r="V46" i="1"/>
  <c r="V33" i="1"/>
  <c r="S42" i="11" l="1"/>
  <c r="S43" i="11"/>
  <c r="S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5" i="11"/>
  <c r="P6" i="11"/>
  <c r="S6" i="11" s="1"/>
  <c r="P7" i="11"/>
  <c r="S7" i="11" s="1"/>
  <c r="P8" i="11"/>
  <c r="S8" i="11" s="1"/>
  <c r="P9" i="11"/>
  <c r="S9" i="11" s="1"/>
  <c r="P10" i="11"/>
  <c r="S10" i="11" s="1"/>
  <c r="P11" i="11"/>
  <c r="S11" i="11" s="1"/>
  <c r="P12" i="11"/>
  <c r="S12" i="11" s="1"/>
  <c r="U12" i="11" s="1"/>
  <c r="P13" i="11"/>
  <c r="S13" i="11" s="1"/>
  <c r="U13" i="11" s="1"/>
  <c r="P14" i="11"/>
  <c r="S14" i="11" s="1"/>
  <c r="U14" i="11" s="1"/>
  <c r="P15" i="11"/>
  <c r="S15" i="11" s="1"/>
  <c r="U15" i="11" s="1"/>
  <c r="P16" i="11"/>
  <c r="S16" i="11" s="1"/>
  <c r="U16" i="11" s="1"/>
  <c r="P17" i="11"/>
  <c r="S17" i="11" s="1"/>
  <c r="U17" i="11" s="1"/>
  <c r="P18" i="11"/>
  <c r="S18" i="11" s="1"/>
  <c r="P19" i="11"/>
  <c r="S19" i="11" s="1"/>
  <c r="P20" i="11"/>
  <c r="S20" i="11" s="1"/>
  <c r="P21" i="11"/>
  <c r="S21" i="11" s="1"/>
  <c r="P22" i="11"/>
  <c r="S22" i="11" s="1"/>
  <c r="P23" i="11"/>
  <c r="S23" i="11" s="1"/>
  <c r="P24" i="11"/>
  <c r="S24" i="11" s="1"/>
  <c r="U24" i="11" s="1"/>
  <c r="P25" i="11"/>
  <c r="S25" i="11" s="1"/>
  <c r="U25" i="11" s="1"/>
  <c r="P26" i="11"/>
  <c r="S26" i="11" s="1"/>
  <c r="U26" i="11" s="1"/>
  <c r="P27" i="11"/>
  <c r="S27" i="11" s="1"/>
  <c r="U27" i="11" s="1"/>
  <c r="P28" i="11"/>
  <c r="S28" i="11" s="1"/>
  <c r="U28" i="11" s="1"/>
  <c r="P29" i="11"/>
  <c r="S29" i="11" s="1"/>
  <c r="U29" i="11" s="1"/>
  <c r="P30" i="11"/>
  <c r="S30" i="11" s="1"/>
  <c r="P31" i="11"/>
  <c r="S31" i="11" s="1"/>
  <c r="P32" i="11"/>
  <c r="S32" i="11" s="1"/>
  <c r="P33" i="11"/>
  <c r="S33" i="11" s="1"/>
  <c r="P34" i="11"/>
  <c r="S34" i="11" s="1"/>
  <c r="P35" i="11"/>
  <c r="S35" i="11" s="1"/>
  <c r="P36" i="11"/>
  <c r="S36" i="11" s="1"/>
  <c r="U36" i="11" s="1"/>
  <c r="P37" i="11"/>
  <c r="S37" i="11" s="1"/>
  <c r="U37" i="11" s="1"/>
  <c r="P38" i="11"/>
  <c r="S38" i="11" s="1"/>
  <c r="U38" i="11" s="1"/>
  <c r="P39" i="11"/>
  <c r="S39" i="11" s="1"/>
  <c r="U39" i="11" s="1"/>
  <c r="P40" i="11"/>
  <c r="S40" i="11" s="1"/>
  <c r="U40" i="11" s="1"/>
  <c r="P41" i="11"/>
  <c r="S41" i="11" s="1"/>
  <c r="U41" i="11" s="1"/>
  <c r="P42" i="11"/>
  <c r="P43" i="11"/>
  <c r="P5" i="11"/>
  <c r="M6" i="11"/>
  <c r="M7" i="11"/>
  <c r="M8" i="11"/>
  <c r="M9" i="11"/>
  <c r="M10" i="11"/>
  <c r="M11" i="11"/>
  <c r="T11" i="11" s="1"/>
  <c r="M12" i="11"/>
  <c r="T12" i="11" s="1"/>
  <c r="M13" i="11"/>
  <c r="T13" i="11" s="1"/>
  <c r="M14" i="11"/>
  <c r="T14" i="11" s="1"/>
  <c r="M15" i="11"/>
  <c r="M16" i="11"/>
  <c r="M17" i="11"/>
  <c r="M18" i="11"/>
  <c r="M19" i="11"/>
  <c r="M20" i="11"/>
  <c r="M21" i="11"/>
  <c r="T21" i="11" s="1"/>
  <c r="M22" i="11"/>
  <c r="T22" i="11" s="1"/>
  <c r="M23" i="11"/>
  <c r="T23" i="11" s="1"/>
  <c r="M24" i="11"/>
  <c r="T24" i="11" s="1"/>
  <c r="M25" i="11"/>
  <c r="T25" i="11" s="1"/>
  <c r="M26" i="11"/>
  <c r="T26" i="11" s="1"/>
  <c r="M27" i="11"/>
  <c r="M28" i="11"/>
  <c r="M29" i="11"/>
  <c r="M30" i="11"/>
  <c r="M31" i="11"/>
  <c r="M32" i="11"/>
  <c r="M33" i="11"/>
  <c r="T33" i="11" s="1"/>
  <c r="M34" i="11"/>
  <c r="T34" i="11" s="1"/>
  <c r="M35" i="11"/>
  <c r="T35" i="11" s="1"/>
  <c r="M36" i="11"/>
  <c r="T36" i="11" s="1"/>
  <c r="M37" i="11"/>
  <c r="T37" i="11" s="1"/>
  <c r="M38" i="11"/>
  <c r="T38" i="11" s="1"/>
  <c r="M39" i="11"/>
  <c r="M40" i="11"/>
  <c r="M41" i="11"/>
  <c r="M42" i="11"/>
  <c r="M43" i="11"/>
  <c r="M5" i="11"/>
  <c r="K6" i="11"/>
  <c r="N6" i="11" s="1"/>
  <c r="K7" i="11"/>
  <c r="N7" i="11" s="1"/>
  <c r="K8" i="11"/>
  <c r="N8" i="11" s="1"/>
  <c r="K9" i="11"/>
  <c r="N9" i="11" s="1"/>
  <c r="K10" i="11"/>
  <c r="N10" i="11" s="1"/>
  <c r="K11" i="11"/>
  <c r="N11" i="11" s="1"/>
  <c r="K12" i="11"/>
  <c r="N12" i="11" s="1"/>
  <c r="K13" i="11"/>
  <c r="N13" i="11" s="1"/>
  <c r="K14" i="11"/>
  <c r="N14" i="11" s="1"/>
  <c r="K15" i="11"/>
  <c r="N15" i="11" s="1"/>
  <c r="K16" i="11"/>
  <c r="N16" i="11" s="1"/>
  <c r="K17" i="11"/>
  <c r="N17" i="11" s="1"/>
  <c r="K18" i="11"/>
  <c r="N18" i="11" s="1"/>
  <c r="K19" i="11"/>
  <c r="N19" i="11" s="1"/>
  <c r="K20" i="11"/>
  <c r="N20" i="11" s="1"/>
  <c r="K21" i="11"/>
  <c r="N21" i="11" s="1"/>
  <c r="K22" i="11"/>
  <c r="N22" i="11" s="1"/>
  <c r="K23" i="11"/>
  <c r="N23" i="11" s="1"/>
  <c r="K24" i="11"/>
  <c r="N24" i="11" s="1"/>
  <c r="K25" i="11"/>
  <c r="N25" i="11" s="1"/>
  <c r="K26" i="11"/>
  <c r="N26" i="11" s="1"/>
  <c r="K27" i="11"/>
  <c r="N27" i="11" s="1"/>
  <c r="K28" i="11"/>
  <c r="N28" i="11" s="1"/>
  <c r="K29" i="11"/>
  <c r="N29" i="11" s="1"/>
  <c r="K30" i="11"/>
  <c r="N30" i="11" s="1"/>
  <c r="K31" i="11"/>
  <c r="N31" i="11" s="1"/>
  <c r="K32" i="11"/>
  <c r="N32" i="11" s="1"/>
  <c r="K33" i="11"/>
  <c r="N33" i="11" s="1"/>
  <c r="K34" i="11"/>
  <c r="N34" i="11" s="1"/>
  <c r="K35" i="11"/>
  <c r="N35" i="11" s="1"/>
  <c r="K36" i="11"/>
  <c r="N36" i="11" s="1"/>
  <c r="K37" i="11"/>
  <c r="N37" i="11" s="1"/>
  <c r="K38" i="11"/>
  <c r="N38" i="11" s="1"/>
  <c r="K39" i="11"/>
  <c r="N39" i="11" s="1"/>
  <c r="K40" i="11"/>
  <c r="N40" i="11" s="1"/>
  <c r="K41" i="11"/>
  <c r="N41" i="11" s="1"/>
  <c r="K42" i="11"/>
  <c r="N42" i="11" s="1"/>
  <c r="K43" i="11"/>
  <c r="N43" i="11" s="1"/>
  <c r="U43" i="11" s="1"/>
  <c r="K5" i="11"/>
  <c r="N5" i="11" s="1"/>
  <c r="U5" i="11" s="1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" i="10"/>
  <c r="U22" i="11" l="1"/>
  <c r="U23" i="11"/>
  <c r="U19" i="11"/>
  <c r="U20" i="11"/>
  <c r="U18" i="11"/>
  <c r="U21" i="11"/>
  <c r="U42" i="11"/>
  <c r="U34" i="11"/>
  <c r="U35" i="11"/>
  <c r="U33" i="11"/>
  <c r="U31" i="11"/>
  <c r="T32" i="11"/>
  <c r="T19" i="11"/>
  <c r="T30" i="11"/>
  <c r="T18" i="11"/>
  <c r="U32" i="11"/>
  <c r="T43" i="11"/>
  <c r="T41" i="11"/>
  <c r="T17" i="11"/>
  <c r="U11" i="11"/>
  <c r="T20" i="11"/>
  <c r="T31" i="11"/>
  <c r="T42" i="11"/>
  <c r="T29" i="11"/>
  <c r="T40" i="11"/>
  <c r="T28" i="11"/>
  <c r="T16" i="11"/>
  <c r="U30" i="11"/>
  <c r="T5" i="11"/>
  <c r="T39" i="11"/>
  <c r="T27" i="11"/>
  <c r="T15" i="11"/>
  <c r="P6" i="10"/>
  <c r="S6" i="10" s="1"/>
  <c r="P8" i="10"/>
  <c r="S8" i="10" s="1"/>
  <c r="P9" i="10"/>
  <c r="S9" i="10" s="1"/>
  <c r="P10" i="10"/>
  <c r="S10" i="10" s="1"/>
  <c r="P11" i="10"/>
  <c r="S11" i="10" s="1"/>
  <c r="P12" i="10"/>
  <c r="S12" i="10" s="1"/>
  <c r="P13" i="10"/>
  <c r="S13" i="10" s="1"/>
  <c r="P14" i="10"/>
  <c r="S14" i="10" s="1"/>
  <c r="P15" i="10"/>
  <c r="S15" i="10" s="1"/>
  <c r="P16" i="10"/>
  <c r="S16" i="10" s="1"/>
  <c r="P17" i="10"/>
  <c r="S17" i="10" s="1"/>
  <c r="P18" i="10"/>
  <c r="S18" i="10" s="1"/>
  <c r="P19" i="10"/>
  <c r="S19" i="10" s="1"/>
  <c r="P20" i="10"/>
  <c r="S20" i="10" s="1"/>
  <c r="P21" i="10"/>
  <c r="S21" i="10" s="1"/>
  <c r="P22" i="10"/>
  <c r="S22" i="10" s="1"/>
  <c r="P23" i="10"/>
  <c r="S23" i="10" s="1"/>
  <c r="P24" i="10"/>
  <c r="S24" i="10" s="1"/>
  <c r="P25" i="10"/>
  <c r="S25" i="10" s="1"/>
  <c r="P26" i="10"/>
  <c r="S26" i="10" s="1"/>
  <c r="P27" i="10"/>
  <c r="S27" i="10" s="1"/>
  <c r="P28" i="10"/>
  <c r="S28" i="10" s="1"/>
  <c r="P29" i="10"/>
  <c r="S29" i="10" s="1"/>
  <c r="P30" i="10"/>
  <c r="S30" i="10" s="1"/>
  <c r="P31" i="10"/>
  <c r="S31" i="10" s="1"/>
  <c r="P32" i="10"/>
  <c r="S32" i="10" s="1"/>
  <c r="P33" i="10"/>
  <c r="S33" i="10" s="1"/>
  <c r="P34" i="10"/>
  <c r="S34" i="10" s="1"/>
  <c r="P35" i="10"/>
  <c r="S35" i="10" s="1"/>
  <c r="P36" i="10"/>
  <c r="S36" i="10" s="1"/>
  <c r="P37" i="10"/>
  <c r="S37" i="10" s="1"/>
  <c r="P38" i="10"/>
  <c r="S38" i="10" s="1"/>
  <c r="P39" i="10"/>
  <c r="S39" i="10" s="1"/>
  <c r="P40" i="10"/>
  <c r="S40" i="10" s="1"/>
  <c r="P41" i="10"/>
  <c r="S41" i="10" s="1"/>
  <c r="P42" i="10"/>
  <c r="S42" i="10" s="1"/>
  <c r="P43" i="10"/>
  <c r="S43" i="10" s="1"/>
  <c r="P44" i="10"/>
  <c r="S44" i="10" s="1"/>
  <c r="P45" i="10"/>
  <c r="S45" i="10" s="1"/>
  <c r="P46" i="10"/>
  <c r="S46" i="10" s="1"/>
  <c r="P47" i="10"/>
  <c r="S47" i="10" s="1"/>
  <c r="P48" i="10"/>
  <c r="S48" i="10" s="1"/>
  <c r="P5" i="10"/>
  <c r="S5" i="10" s="1"/>
  <c r="M6" i="10"/>
  <c r="T6" i="10" s="1"/>
  <c r="M8" i="10"/>
  <c r="T8" i="10" s="1"/>
  <c r="M9" i="10"/>
  <c r="T9" i="10" s="1"/>
  <c r="M10" i="10"/>
  <c r="T10" i="10" s="1"/>
  <c r="M11" i="10"/>
  <c r="T11" i="10" s="1"/>
  <c r="M12" i="10"/>
  <c r="T12" i="10" s="1"/>
  <c r="M13" i="10"/>
  <c r="T13" i="10" s="1"/>
  <c r="M14" i="10"/>
  <c r="T14" i="10" s="1"/>
  <c r="M15" i="10"/>
  <c r="T15" i="10" s="1"/>
  <c r="M16" i="10"/>
  <c r="T16" i="10" s="1"/>
  <c r="M17" i="10"/>
  <c r="T17" i="10" s="1"/>
  <c r="M18" i="10"/>
  <c r="M19" i="10"/>
  <c r="M20" i="10"/>
  <c r="T20" i="10" s="1"/>
  <c r="M21" i="10"/>
  <c r="T21" i="10" s="1"/>
  <c r="M22" i="10"/>
  <c r="T22" i="10" s="1"/>
  <c r="M23" i="10"/>
  <c r="T23" i="10" s="1"/>
  <c r="M24" i="10"/>
  <c r="T24" i="10" s="1"/>
  <c r="M25" i="10"/>
  <c r="T25" i="10" s="1"/>
  <c r="M26" i="10"/>
  <c r="T26" i="10" s="1"/>
  <c r="M27" i="10"/>
  <c r="T27" i="10" s="1"/>
  <c r="M28" i="10"/>
  <c r="T28" i="10" s="1"/>
  <c r="M29" i="10"/>
  <c r="T29" i="10" s="1"/>
  <c r="M30" i="10"/>
  <c r="T30" i="10" s="1"/>
  <c r="M31" i="10"/>
  <c r="T31" i="10" s="1"/>
  <c r="M32" i="10"/>
  <c r="T32" i="10" s="1"/>
  <c r="M33" i="10"/>
  <c r="T33" i="10" s="1"/>
  <c r="M34" i="10"/>
  <c r="T34" i="10" s="1"/>
  <c r="M35" i="10"/>
  <c r="T35" i="10" s="1"/>
  <c r="M36" i="10"/>
  <c r="T36" i="10" s="1"/>
  <c r="M37" i="10"/>
  <c r="T37" i="10" s="1"/>
  <c r="M38" i="10"/>
  <c r="T38" i="10" s="1"/>
  <c r="M39" i="10"/>
  <c r="T39" i="10" s="1"/>
  <c r="M40" i="10"/>
  <c r="T40" i="10" s="1"/>
  <c r="M41" i="10"/>
  <c r="T41" i="10" s="1"/>
  <c r="M42" i="10"/>
  <c r="T42" i="10" s="1"/>
  <c r="M43" i="10"/>
  <c r="T43" i="10" s="1"/>
  <c r="M44" i="10"/>
  <c r="T44" i="10" s="1"/>
  <c r="M45" i="10"/>
  <c r="T45" i="10" s="1"/>
  <c r="M46" i="10"/>
  <c r="T46" i="10" s="1"/>
  <c r="M47" i="10"/>
  <c r="T47" i="10" s="1"/>
  <c r="M48" i="10"/>
  <c r="T48" i="10" s="1"/>
  <c r="M5" i="10"/>
  <c r="T5" i="10" s="1"/>
  <c r="K6" i="10"/>
  <c r="N6" i="10" s="1"/>
  <c r="K8" i="10"/>
  <c r="N8" i="10" s="1"/>
  <c r="K9" i="10"/>
  <c r="N9" i="10" s="1"/>
  <c r="K10" i="10"/>
  <c r="N10" i="10" s="1"/>
  <c r="K11" i="10"/>
  <c r="N11" i="10" s="1"/>
  <c r="U11" i="10" s="1"/>
  <c r="K12" i="10"/>
  <c r="N12" i="10" s="1"/>
  <c r="K13" i="10"/>
  <c r="N13" i="10" s="1"/>
  <c r="K14" i="10"/>
  <c r="N14" i="10" s="1"/>
  <c r="K15" i="10"/>
  <c r="N15" i="10" s="1"/>
  <c r="K16" i="10"/>
  <c r="N16" i="10" s="1"/>
  <c r="K17" i="10"/>
  <c r="N17" i="10" s="1"/>
  <c r="K18" i="10"/>
  <c r="N18" i="10" s="1"/>
  <c r="K19" i="10"/>
  <c r="N19" i="10" s="1"/>
  <c r="K20" i="10"/>
  <c r="N20" i="10" s="1"/>
  <c r="K21" i="10"/>
  <c r="N21" i="10" s="1"/>
  <c r="K22" i="10"/>
  <c r="N22" i="10" s="1"/>
  <c r="K23" i="10"/>
  <c r="N23" i="10" s="1"/>
  <c r="K24" i="10"/>
  <c r="N24" i="10" s="1"/>
  <c r="K25" i="10"/>
  <c r="N25" i="10" s="1"/>
  <c r="K26" i="10"/>
  <c r="N26" i="10" s="1"/>
  <c r="K27" i="10"/>
  <c r="N27" i="10" s="1"/>
  <c r="K28" i="10"/>
  <c r="N28" i="10" s="1"/>
  <c r="K29" i="10"/>
  <c r="N29" i="10" s="1"/>
  <c r="K30" i="10"/>
  <c r="N30" i="10" s="1"/>
  <c r="K31" i="10"/>
  <c r="N31" i="10" s="1"/>
  <c r="K32" i="10"/>
  <c r="N32" i="10" s="1"/>
  <c r="K33" i="10"/>
  <c r="N33" i="10" s="1"/>
  <c r="K34" i="10"/>
  <c r="N34" i="10" s="1"/>
  <c r="K35" i="10"/>
  <c r="N35" i="10" s="1"/>
  <c r="K36" i="10"/>
  <c r="N36" i="10" s="1"/>
  <c r="K37" i="10"/>
  <c r="N37" i="10" s="1"/>
  <c r="K38" i="10"/>
  <c r="N38" i="10" s="1"/>
  <c r="K39" i="10"/>
  <c r="N39" i="10" s="1"/>
  <c r="K40" i="10"/>
  <c r="N40" i="10" s="1"/>
  <c r="K41" i="10"/>
  <c r="N41" i="10" s="1"/>
  <c r="K42" i="10"/>
  <c r="N42" i="10" s="1"/>
  <c r="K43" i="10"/>
  <c r="N43" i="10" s="1"/>
  <c r="K44" i="10"/>
  <c r="N44" i="10" s="1"/>
  <c r="K45" i="10"/>
  <c r="N45" i="10" s="1"/>
  <c r="K46" i="10"/>
  <c r="N46" i="10" s="1"/>
  <c r="K47" i="10"/>
  <c r="N47" i="10" s="1"/>
  <c r="K48" i="10"/>
  <c r="N48" i="10" s="1"/>
  <c r="K5" i="10"/>
  <c r="N5" i="10" s="1"/>
  <c r="U10" i="10" l="1"/>
  <c r="U21" i="10"/>
  <c r="U45" i="10"/>
  <c r="U33" i="10"/>
  <c r="U44" i="10"/>
  <c r="U32" i="10"/>
  <c r="U20" i="10"/>
  <c r="U8" i="10"/>
  <c r="U31" i="10"/>
  <c r="U14" i="10"/>
  <c r="U43" i="10"/>
  <c r="U29" i="10"/>
  <c r="U30" i="10"/>
  <c r="U6" i="10"/>
  <c r="U9" i="10"/>
  <c r="U41" i="10"/>
  <c r="U40" i="10"/>
  <c r="U42" i="10"/>
  <c r="U28" i="10"/>
  <c r="U38" i="10"/>
  <c r="U39" i="10"/>
  <c r="U5" i="10"/>
  <c r="U25" i="10"/>
  <c r="U15" i="10"/>
  <c r="U27" i="10"/>
  <c r="U26" i="10"/>
  <c r="U37" i="10"/>
  <c r="U24" i="10"/>
  <c r="U36" i="10"/>
  <c r="U35" i="10"/>
  <c r="U13" i="10"/>
  <c r="U16" i="10"/>
  <c r="U48" i="10"/>
  <c r="U47" i="10"/>
  <c r="U23" i="10"/>
  <c r="U46" i="10"/>
  <c r="U34" i="10"/>
  <c r="U22" i="10"/>
  <c r="U12" i="10"/>
  <c r="S5" i="1"/>
  <c r="Q5" i="1" l="1"/>
  <c r="T5" i="1" s="1"/>
  <c r="N5" i="1"/>
  <c r="U5" i="1" s="1"/>
  <c r="L6" i="1"/>
  <c r="L7" i="1"/>
  <c r="L8" i="1"/>
  <c r="L9" i="1"/>
  <c r="L16" i="1"/>
  <c r="L17" i="1"/>
  <c r="L18" i="1"/>
  <c r="L19" i="1"/>
  <c r="O19" i="1" s="1"/>
  <c r="V19" i="1" s="1"/>
  <c r="L20" i="1"/>
  <c r="O20" i="1" s="1"/>
  <c r="V20" i="1" s="1"/>
  <c r="L21" i="1"/>
  <c r="O21" i="1" s="1"/>
  <c r="V21" i="1" s="1"/>
  <c r="L22" i="1"/>
  <c r="L23" i="1"/>
  <c r="L24" i="1"/>
  <c r="L25" i="1"/>
  <c r="O25" i="1" s="1"/>
  <c r="V25" i="1" s="1"/>
  <c r="L26" i="1"/>
  <c r="O26" i="1" s="1"/>
  <c r="V26" i="1" s="1"/>
  <c r="L27" i="1"/>
  <c r="O27" i="1" s="1"/>
  <c r="V27" i="1" s="1"/>
  <c r="L5" i="1"/>
  <c r="O5" i="1" s="1"/>
  <c r="O17" i="1" l="1"/>
  <c r="V17" i="1" s="1"/>
  <c r="O24" i="1"/>
  <c r="V24" i="1" s="1"/>
  <c r="O6" i="1"/>
  <c r="V6" i="1" s="1"/>
  <c r="O18" i="1"/>
  <c r="V18" i="1" s="1"/>
  <c r="O23" i="1"/>
  <c r="V23" i="1" s="1"/>
  <c r="O22" i="1"/>
  <c r="V22" i="1" s="1"/>
  <c r="O9" i="1"/>
  <c r="V9" i="1" s="1"/>
  <c r="O8" i="1"/>
  <c r="V8" i="1" s="1"/>
  <c r="O16" i="1"/>
  <c r="V16" i="1" s="1"/>
  <c r="O7" i="1"/>
  <c r="V7" i="1" s="1"/>
  <c r="V5" i="1"/>
  <c r="D46" i="1"/>
</calcChain>
</file>

<file path=xl/sharedStrings.xml><?xml version="1.0" encoding="utf-8"?>
<sst xmlns="http://schemas.openxmlformats.org/spreadsheetml/2006/main" count="1847" uniqueCount="623">
  <si>
    <t>Язык обучения</t>
  </si>
  <si>
    <t>ОП</t>
  </si>
  <si>
    <t>Кол-во кредитов по УП</t>
  </si>
  <si>
    <t>кол-во в часах</t>
  </si>
  <si>
    <t>из них аудиторные (часы)</t>
  </si>
  <si>
    <t>из них лекции (кредит)</t>
  </si>
  <si>
    <t>лекции в часах</t>
  </si>
  <si>
    <t>Кол-во групп</t>
  </si>
  <si>
    <t>всего кредитов на лекции за семестр</t>
  </si>
  <si>
    <t>всего часов на лекции за семестр</t>
  </si>
  <si>
    <t>Семинар /практ (кредит)</t>
  </si>
  <si>
    <t>Семинар /практ 
в часах</t>
  </si>
  <si>
    <t>всего кредитов на прак.зан. за семестр</t>
  </si>
  <si>
    <t>всего часов на прак.зан. за семестр</t>
  </si>
  <si>
    <t>ИТОГО 
в кредитах</t>
  </si>
  <si>
    <t>ИТОГО 
в часах</t>
  </si>
  <si>
    <t>ФИО преподавателя</t>
  </si>
  <si>
    <t>каз</t>
  </si>
  <si>
    <t>рус</t>
  </si>
  <si>
    <t>Дисциплина</t>
  </si>
  <si>
    <t>ПиП</t>
  </si>
  <si>
    <t>МузО</t>
  </si>
  <si>
    <t>Физика</t>
  </si>
  <si>
    <t>Информатика</t>
  </si>
  <si>
    <t>Химия</t>
  </si>
  <si>
    <t>Биология</t>
  </si>
  <si>
    <t>География</t>
  </si>
  <si>
    <t>Архивоведение и музееведение</t>
  </si>
  <si>
    <t>КЯ</t>
  </si>
  <si>
    <t>ИЯ</t>
  </si>
  <si>
    <t>МО</t>
  </si>
  <si>
    <t>Педагогическая психология</t>
  </si>
  <si>
    <t>Организация опытно-экспериментальной работы в школе</t>
  </si>
  <si>
    <t>Вокальный класс 2 уровень</t>
  </si>
  <si>
    <t>Профессиональный иностранный язык</t>
  </si>
  <si>
    <t>Практикум по решению математических задач - 1</t>
  </si>
  <si>
    <t>Микробиология и вирусология</t>
  </si>
  <si>
    <t>Физическая география материков и океанов</t>
  </si>
  <si>
    <t>ЭиП</t>
  </si>
  <si>
    <t>Физическая культура</t>
  </si>
  <si>
    <t>Психологическая служба в образовании</t>
  </si>
  <si>
    <t>Воспитательная работа в организациях образования</t>
  </si>
  <si>
    <t>Теоретические и методические основы взаимодействия с родителями</t>
  </si>
  <si>
    <t>Цифровые технологии в образовании</t>
  </si>
  <si>
    <t>Организация и планирование исследовательских проектов по психологии и педагогике / Психолого-педагогическая диагностика личности</t>
  </si>
  <si>
    <t>Психология личности</t>
  </si>
  <si>
    <t>Вокальный класс 1 уровень</t>
  </si>
  <si>
    <t>Математический анализ - 3</t>
  </si>
  <si>
    <t>Дифференциальные уравнения</t>
  </si>
  <si>
    <t>Математический анализ - 4</t>
  </si>
  <si>
    <t>Методы теоретической физики</t>
  </si>
  <si>
    <t>Оптика</t>
  </si>
  <si>
    <t>Aлгоритмы и структуры данных</t>
  </si>
  <si>
    <t>Теория вероятности и математическая статистика</t>
  </si>
  <si>
    <t>Операционные системы</t>
  </si>
  <si>
    <t>Программирование на языке Python</t>
  </si>
  <si>
    <t>Качественный анализ</t>
  </si>
  <si>
    <t>Органическая химия 1</t>
  </si>
  <si>
    <t>Количественный анализ</t>
  </si>
  <si>
    <t>Органическая химия 2</t>
  </si>
  <si>
    <t>Неорганическая химия</t>
  </si>
  <si>
    <t>Зоология позвоночных</t>
  </si>
  <si>
    <t>Органическая химия</t>
  </si>
  <si>
    <t>Физиология растений</t>
  </si>
  <si>
    <t>Ландшафтоведение</t>
  </si>
  <si>
    <t>Экономическая и социальная география мира</t>
  </si>
  <si>
    <t>Метеорология и климатология</t>
  </si>
  <si>
    <t>Лексикология современного казахского языка</t>
  </si>
  <si>
    <t>Литература античности</t>
  </si>
  <si>
    <t>Литература периода Казахского ханства (XV-XVIII в.в.)</t>
  </si>
  <si>
    <t>Морфология и словообразование современного казахского языка</t>
  </si>
  <si>
    <t>Второй иностранный язык А2 (китайский язык) / Второй иностранный язык А2 (немецкий язык) / Второй иностранный язык А2 (турецкий язык) / Второй иностранный язык А2 (французский язык)</t>
  </si>
  <si>
    <t>Девиантное поведение детей и подростков</t>
  </si>
  <si>
    <t>Китайский язык 3</t>
  </si>
  <si>
    <t>МБ</t>
  </si>
  <si>
    <t>Китайский язык 4</t>
  </si>
  <si>
    <t>Методы и технологии преподавания</t>
  </si>
  <si>
    <t>Наука об образовании и ключевые теории обучения</t>
  </si>
  <si>
    <t>Основы геймификации / Основы нутрициологии</t>
  </si>
  <si>
    <t>Оценивание и развитие</t>
  </si>
  <si>
    <t>Практикум по дошкольной психологии</t>
  </si>
  <si>
    <t>Проектная деятельность в дошкольной организации</t>
  </si>
  <si>
    <t>Семинар-практикум по изучению игровой субкультуры дошкольников / Семинар-практикум по изучению современной материальной культуры детства (игрушки)</t>
  </si>
  <si>
    <t>Педагогические исследования</t>
  </si>
  <si>
    <t>Психология в образовании и концепции взаимодействия и коммуникации</t>
  </si>
  <si>
    <t>Психология дошкольного и младшего школьного возраста</t>
  </si>
  <si>
    <t>Методика обучения литературному чтению</t>
  </si>
  <si>
    <t>Теория и технология воспитательной работы в начальной школе</t>
  </si>
  <si>
    <t>Глобальные перспективы в образовании / Краеведение / Педагогика досуга / Этнопедагогика</t>
  </si>
  <si>
    <t>Основы композиции (IP)</t>
  </si>
  <si>
    <t>Психология, взаимодействие и коммуникация в образовании</t>
  </si>
  <si>
    <t>Академическая живопись (ІР) / Портретная живопись (ІР)</t>
  </si>
  <si>
    <t>История всемирного изобразительного искусства (IP) / История изобразительного искусства и арт-исследование (IP)</t>
  </si>
  <si>
    <t>Жанровая композиция (IP) / Композиция (IP)</t>
  </si>
  <si>
    <t>Восток и Запад в средние века</t>
  </si>
  <si>
    <t>Методы и технологии преподавания (IP)</t>
  </si>
  <si>
    <t>История, культура и право средневекового Казахстана</t>
  </si>
  <si>
    <t>Обществоведение</t>
  </si>
  <si>
    <t>Историческая география / Историческая демография / Историческое краеведение</t>
  </si>
  <si>
    <t>Лексическая система русского языка</t>
  </si>
  <si>
    <t>Морфологическая система русского языка и словообразование</t>
  </si>
  <si>
    <t>Мировая словесность и культура II (Античность- начало 21 века) / Мифология и мировая литература II (Античная литература – начало 21 века)</t>
  </si>
  <si>
    <t>Теория и практика обучения русской литературе</t>
  </si>
  <si>
    <t>Второй иностранный язык А1 (китайский язык) / Второй иностранный язык А1 (немецкий язык) / Второй иностранный язык А1 (турецкий язык) / Второй иностранный язык А1 (французский язык)</t>
  </si>
  <si>
    <t>Физиологические и экологические основы здоровья и безопасности обучающихся</t>
  </si>
  <si>
    <t>ДОиВ ІР</t>
  </si>
  <si>
    <t>НО ІР</t>
  </si>
  <si>
    <t>Основы современного казахского (русского) языка / Педагогическая риторика</t>
  </si>
  <si>
    <t>Основы игры на музыкальных инструментах 3 уровень (фортепиано, домбыра, аккордеон)</t>
  </si>
  <si>
    <t>Основной музыкальный инструмент 1 уровень (фортепиано, домбыра, аккордеон)</t>
  </si>
  <si>
    <t>Труд ІР</t>
  </si>
  <si>
    <t>Живопись (IP) / Станковая живопись (IP)</t>
  </si>
  <si>
    <t>Методы и технологии преподавания трудового обучения и технологии</t>
  </si>
  <si>
    <t>Исследования в действии / Педагогические исследования</t>
  </si>
  <si>
    <t>Ковроткачество и художественная обработка текстиля (IP) / Художественное ткачество и обработка текстильных материалов (ІР)</t>
  </si>
  <si>
    <t>Труд ІР, УХТ ІР</t>
  </si>
  <si>
    <t>УХТ ІР</t>
  </si>
  <si>
    <t>Матем</t>
  </si>
  <si>
    <t>Основы картографии и топографии</t>
  </si>
  <si>
    <t>Вспомогательные исторические дисциплины (IP)</t>
  </si>
  <si>
    <t>История ІР</t>
  </si>
  <si>
    <t>Классическая русская литература (18в.)</t>
  </si>
  <si>
    <t>РЯ ІР</t>
  </si>
  <si>
    <t>Классическая русская литература (19в.)</t>
  </si>
  <si>
    <t>Введение в китайскую классику 1</t>
  </si>
  <si>
    <t>Лесикология английского языка</t>
  </si>
  <si>
    <t>Практический английский язык В1</t>
  </si>
  <si>
    <t>Китайская фоника и преподавание фонетики 1 / Практический китайский язык в проектной деятельности 1</t>
  </si>
  <si>
    <t>АЯ/кит</t>
  </si>
  <si>
    <t>Введение в китайскую классику 2</t>
  </si>
  <si>
    <t>Методика преподавания иностранного языка</t>
  </si>
  <si>
    <t>Практический английский (С1)-1</t>
  </si>
  <si>
    <t>Практический английский язык В2</t>
  </si>
  <si>
    <t>Профессионально-ориентированный английский язык (уровень С1)</t>
  </si>
  <si>
    <t>АЯ ІР</t>
  </si>
  <si>
    <t>Методика и лингводидактика преподавания английского языка</t>
  </si>
  <si>
    <t>Профессионально-ориентированный английский язык (уровень С2)</t>
  </si>
  <si>
    <t>Практический английский В2-1</t>
  </si>
  <si>
    <t>Практический английский В2-2</t>
  </si>
  <si>
    <t>Гл корпус</t>
  </si>
  <si>
    <t>5 корпус</t>
  </si>
  <si>
    <t>МузО, Матем, Физика, Информатика, Химия, Биология, География</t>
  </si>
  <si>
    <t>ПиП, КЯ</t>
  </si>
  <si>
    <t>АрхДиз, ГрафДиз, Fashion дизайн, История науч, Перевод, МО, Психология</t>
  </si>
  <si>
    <t>Английский язык 1</t>
  </si>
  <si>
    <t>Туризм</t>
  </si>
  <si>
    <t>Английский язык 2</t>
  </si>
  <si>
    <t>Высшая математика</t>
  </si>
  <si>
    <t>Биоинформатика</t>
  </si>
  <si>
    <t>англ</t>
  </si>
  <si>
    <t>по 50</t>
  </si>
  <si>
    <t>по 30</t>
  </si>
  <si>
    <t>Инклюзивное образование и устойчивое развитие</t>
  </si>
  <si>
    <t>Технология физического воспитания дошкольников</t>
  </si>
  <si>
    <t>Дошкольная педагогическая система М.Монтессори</t>
  </si>
  <si>
    <t>Возрастная и педагогическая психология / Психология одаренности</t>
  </si>
  <si>
    <t>ДОиВ</t>
  </si>
  <si>
    <t>Менеджмент и лидерство в образовании</t>
  </si>
  <si>
    <t>Моделирование образовательного процесса в дошкольном образовании</t>
  </si>
  <si>
    <t>Основы нутрициологии</t>
  </si>
  <si>
    <t>Теории и технологии музыкального воспитания дошкольников</t>
  </si>
  <si>
    <t>Методическая работа в дошкольном образовательном учреждении / Психолого-педагогические аспекты методической деятельности педагога</t>
  </si>
  <si>
    <t>Социализация ребенка в поликультурной среде / Субкультура современного ребенка</t>
  </si>
  <si>
    <t>Методика обучения изобразительному искусству в начальной школе</t>
  </si>
  <si>
    <t>Методика обучения литературного чтения в начальной школе</t>
  </si>
  <si>
    <t>ДОиВ, ПиМНО</t>
  </si>
  <si>
    <t>Методика преподавания физического воспитания в начальной школе</t>
  </si>
  <si>
    <t>ПиМНО</t>
  </si>
  <si>
    <t>Педагогическое мастерство учителя начальных классов</t>
  </si>
  <si>
    <t>Развитие связной речи учащихся в начальной школе</t>
  </si>
  <si>
    <t>Теория и технология обучения цифровой грамотности в начальной школе</t>
  </si>
  <si>
    <t>Методика подготовки детей к школе / Преемственность дошкольного и школьного образования</t>
  </si>
  <si>
    <t>Объектно-ориентированное программирование</t>
  </si>
  <si>
    <t>Методика преподавания информатики</t>
  </si>
  <si>
    <t>Робототехнические системы</t>
  </si>
  <si>
    <t>Разработка компьютерных игр на Python</t>
  </si>
  <si>
    <t>База данных</t>
  </si>
  <si>
    <t>Информатика, Физра (ІР)</t>
  </si>
  <si>
    <t>Лыжная подготовка с методикой обучения</t>
  </si>
  <si>
    <t>Планирование преподавания и индивидуализация обучения</t>
  </si>
  <si>
    <t>Спортивные игры с методикой обучения (баскетбол, волейбол)</t>
  </si>
  <si>
    <t>Методика преподавания физической культуры</t>
  </si>
  <si>
    <t>Физра</t>
  </si>
  <si>
    <t>Теория и методика избранного вида спорта</t>
  </si>
  <si>
    <t>Лечебная физическая культура и массаж / Основы спортивной медицины и реабилитации / Прикладная кинезиология</t>
  </si>
  <si>
    <t>Альтернативные виды физической культуры / Оздоровительно-рекреативная физическая культура / Физическая культура для работоспособности и активного отдыха в школе / Шахматы с методикой обучения</t>
  </si>
  <si>
    <t>Визуализация и представление результатов исследований / Прикладные исследования в физической культуре и спорте / Спортивная метрология</t>
  </si>
  <si>
    <t>Физра (ІР)</t>
  </si>
  <si>
    <t>ДОиВ, КЯ</t>
  </si>
  <si>
    <t>Методика преподавания казахского языка</t>
  </si>
  <si>
    <t>Синтаксис словосочетания и простого предложения современного казахского языка</t>
  </si>
  <si>
    <t>Казахская литература ХІХ века</t>
  </si>
  <si>
    <t>Методика преподавания казахской литературы</t>
  </si>
  <si>
    <t>ДОиВ, ПиМНО, КЯ</t>
  </si>
  <si>
    <t>Академическая письмо и грамотность</t>
  </si>
  <si>
    <t>Синтаксис составного предложения современного казахского языка</t>
  </si>
  <si>
    <t>Казахская литература I половины ХХ века</t>
  </si>
  <si>
    <t>Абаеведение / Мухтароведение</t>
  </si>
  <si>
    <t>Ораторское искусство и культура речи / Стилистика и языковая культура современного казахского языка</t>
  </si>
  <si>
    <t>Современные технологии коммуникации в сфере иноязычного образования</t>
  </si>
  <si>
    <t>Межкультурная коммуникация на уроках иностранного языка / Театрализация в процессе обучения английскому языку</t>
  </si>
  <si>
    <t>Лексикология английского языка</t>
  </si>
  <si>
    <t>Развитие устной и письменной продуктивной речи</t>
  </si>
  <si>
    <t>Современные тенденции в TESOL</t>
  </si>
  <si>
    <t>Стилистика английского языка</t>
  </si>
  <si>
    <t>Второй иностранный язык В1 (китайский язык) / Второй иностранный язык В1 (немецкий язык) / Второй иностранный язык В1 (турецкий язык) / Второй иностранный язык В1 (французский язык)</t>
  </si>
  <si>
    <t>каз, рус</t>
  </si>
  <si>
    <t>Когнитивная психология</t>
  </si>
  <si>
    <t>Психология стресса и здоровья</t>
  </si>
  <si>
    <t>Психолого-педагогическая коррекция и основы психотерапии</t>
  </si>
  <si>
    <t>Инклюзивное образование</t>
  </si>
  <si>
    <t>Психологическое консультирование</t>
  </si>
  <si>
    <t>Тимбилдинг в образовании</t>
  </si>
  <si>
    <t>Этнопедагогика и этнопсихология</t>
  </si>
  <si>
    <t>Виктимология / Психологические аспекты суицидального поведения</t>
  </si>
  <si>
    <t>Арт-терапия / Артпедагогика</t>
  </si>
  <si>
    <t>Теория и методика изобразительного творчества детей дошкольного возраста</t>
  </si>
  <si>
    <t>Литературное образование дошкольников</t>
  </si>
  <si>
    <t>Теория и методика ознакомления с окружающей средой</t>
  </si>
  <si>
    <t>Дидактика развития детей раннего дошкольного возраста</t>
  </si>
  <si>
    <t>Психолого-педагогическая диагностика развития детей дошкольного возраста</t>
  </si>
  <si>
    <t>Инклюзивная образовательная среда</t>
  </si>
  <si>
    <t>Коммуникативно-речевое развитие детей раннего и дошкольного возраста</t>
  </si>
  <si>
    <t>Логико-математическое развитие дошкольников</t>
  </si>
  <si>
    <t>Сенсорное воспитание в раннем возрасте / Социально-эмоциональное развитие в раннем и дошкольного возрасте</t>
  </si>
  <si>
    <t>Образовательный процесс в разновозрастной группе дошкольного мини-центра / Организация досуговой деятельности в дошкольной организации</t>
  </si>
  <si>
    <t>ДОиВ (ІР)</t>
  </si>
  <si>
    <t>Менеджмент в дошкольном образовании</t>
  </si>
  <si>
    <t>Музыкальное воспитание дошкольников / Физическое воспитание и культура безопасности ребенка / Экологическое воспитание дошкольников</t>
  </si>
  <si>
    <t>Авторские системы и методики развития и воспитания / Домашнее образование и семейное воспитание дошкольников</t>
  </si>
  <si>
    <t>Развитие читательской культуры дошкольников / Художественно-эстетическое воспитание дошкольников</t>
  </si>
  <si>
    <t>Лидерство в дошкольном образовании / Предпринимательская деятельность в дошкольном образовании</t>
  </si>
  <si>
    <t>Методика обучения математике с практикумом по решению задач</t>
  </si>
  <si>
    <t>Методика языкового образования младших школьников</t>
  </si>
  <si>
    <t>Методика обучения иностранному языку в начальной школе / Практикум по формированию речевой деятельности</t>
  </si>
  <si>
    <t>Арт образование в начальной школе / Изобразительное искусство и труд в начальной школе</t>
  </si>
  <si>
    <t>НО (ІР)</t>
  </si>
  <si>
    <t>Методика обучения естествознанию и познанию мира в начальной школе</t>
  </si>
  <si>
    <t>Особенности образовательного процесса в малокомплектной начальной школе</t>
  </si>
  <si>
    <t>STEAM-образование младших школьников / Цифровое обучение и медиаграмотность в начальном образовании</t>
  </si>
  <si>
    <t>Детская литература и анализ текста / Интегрированное обучение содержанию и языку (CLIL) в начальной школы / Младший школьник в мире иностранного языка и культуры</t>
  </si>
  <si>
    <t>Community Service / Развитие исследовательской деятельности младшего школьника / Создание проектов в начальных классах</t>
  </si>
  <si>
    <t>Теория и технология трудового обучения в начальной школы</t>
  </si>
  <si>
    <t>Методика обучения музыкальному искусству в начальной школе</t>
  </si>
  <si>
    <t>Теория и технология педагогического процесса в малокомплектной начальной школе</t>
  </si>
  <si>
    <t>Контроль знаний учащихся школ по системе критериального оценивания / Мониторинг уровня формирования навыков функциональной грамотности в начальной школе</t>
  </si>
  <si>
    <t>Методика подготовки ребенка к школе / Преемственность дошкольного и школьного образования</t>
  </si>
  <si>
    <t>Дополнительный музыкальный инструмент 1 уровень(домбыра)</t>
  </si>
  <si>
    <t>Основной музыкальный инструмент 2 уровень (фортепиано, баян)</t>
  </si>
  <si>
    <t>Сольное музыкальное исполнительство 2 уровень ( Хоровое дирижирование)</t>
  </si>
  <si>
    <t>Хоровое дирижирование и практикум работы с хором 1</t>
  </si>
  <si>
    <t>Теория и методика музыкального образования</t>
  </si>
  <si>
    <t>История казахской музыки / История мировой музыки</t>
  </si>
  <si>
    <t>Вокальный класс 3 уровень</t>
  </si>
  <si>
    <t>Дополнительный музыкальный инструмент 2 уровень (домбыра)</t>
  </si>
  <si>
    <t>Коллективное музыкальное творчество 1 (Оркестр народных инструментов)</t>
  </si>
  <si>
    <t>Основной музыкальный инструмент 3 уровень (фортепиано, баян)</t>
  </si>
  <si>
    <t>Сольное музыкальное исполнительство 3 уровень ( Хоровое дирижирование)</t>
  </si>
  <si>
    <t>Хоровое дирижирование и практикум работы с хором 2</t>
  </si>
  <si>
    <t>Основы дизайна (IP)</t>
  </si>
  <si>
    <t>Оценивание и развитие (IP)</t>
  </si>
  <si>
    <t>Пластическая анатомия и скульптура(IP)</t>
  </si>
  <si>
    <t>Продвинутый иностранный язык / Академический английский</t>
  </si>
  <si>
    <t>Художественная обработка древисины (IP) / Художественная обработка традиционных материалов( дерево, кожа, кость, камень) (IP)</t>
  </si>
  <si>
    <t>Рисунок фигуры человека (ІР) / Сюжетный рисунок (IP)</t>
  </si>
  <si>
    <t>УХТ (ІР)</t>
  </si>
  <si>
    <t>Арт-менеджмент и предпринимательство в креативной экономики (IP) / Предпринимательство в креативной экономике (IP)</t>
  </si>
  <si>
    <t>Пейзажная живопись (IP) / Пленэрная живопись (IP)</t>
  </si>
  <si>
    <t>Декоративно-прикладное искусство (художественное ткачество и обработка текстильных материалов) (IP) / Ковроткачество и художественная обработка текстиля (IP)</t>
  </si>
  <si>
    <t>Графика и проектирование (IP) / Черчение (IP)</t>
  </si>
  <si>
    <t>Академическая живопись 1</t>
  </si>
  <si>
    <t>Народный орнамент</t>
  </si>
  <si>
    <t>Методика преподавания художественного труда и изобразительного искусства</t>
  </si>
  <si>
    <t>УХТиИЗО</t>
  </si>
  <si>
    <t>Академическая живопись 2</t>
  </si>
  <si>
    <t>Культура дома и питания</t>
  </si>
  <si>
    <t>Дизайн интерьера</t>
  </si>
  <si>
    <t>Численные методы и пакет математических программ -1</t>
  </si>
  <si>
    <t>Методика преподавания математики</t>
  </si>
  <si>
    <t>Проективная геометрия</t>
  </si>
  <si>
    <t>Теория функции комплексной переменной</t>
  </si>
  <si>
    <t>Математика</t>
  </si>
  <si>
    <t>Практикум по решению математических задач - 2</t>
  </si>
  <si>
    <t>Практикум по решению задач математической статистики</t>
  </si>
  <si>
    <t>Решение олимпиадных и конкурсных задач</t>
  </si>
  <si>
    <t>Введение в символьную логику / Дискретная математика и математическая логика</t>
  </si>
  <si>
    <t>Введение в физику / Теоретические основы физики</t>
  </si>
  <si>
    <t>Классическая механика</t>
  </si>
  <si>
    <t>Методика преподавания физики</t>
  </si>
  <si>
    <t>Физика атома и спектроскопия</t>
  </si>
  <si>
    <t>Физика диэлектриков</t>
  </si>
  <si>
    <t>Квантовая механика</t>
  </si>
  <si>
    <t>Методика проведения факультативных занятий по астрономии</t>
  </si>
  <si>
    <t>Ядерная физика</t>
  </si>
  <si>
    <t>Практикум по решению задач по физике -2 / Практикум по решению олимписких задач</t>
  </si>
  <si>
    <t>Контроль знаний учащихся школ по системе критериального оценивания / Предметно-языковое интегрированное обучение (CLIL)</t>
  </si>
  <si>
    <t>Биохимия</t>
  </si>
  <si>
    <t>Физическая химия</t>
  </si>
  <si>
    <t>Методика преподавания химии</t>
  </si>
  <si>
    <t>Решение олимпиадных задач по химии</t>
  </si>
  <si>
    <t>Коллоидная химия</t>
  </si>
  <si>
    <t>Физико-химические методы анализа</t>
  </si>
  <si>
    <t>Химия высокомолекулярных соединений</t>
  </si>
  <si>
    <t>Компьютерная химия / Кристаллохимия</t>
  </si>
  <si>
    <t>Аналитическая химия</t>
  </si>
  <si>
    <t>Генетика с основами селекции</t>
  </si>
  <si>
    <t>Анатомия человека</t>
  </si>
  <si>
    <t>Методика преподавания биологии</t>
  </si>
  <si>
    <t>Биогеография</t>
  </si>
  <si>
    <t>Физиология человека и животных</t>
  </si>
  <si>
    <t>Биохимия и основы молекулярной биологии</t>
  </si>
  <si>
    <t>Физическая и коллоидная химия</t>
  </si>
  <si>
    <t>Геохимия и геофизика окружающей среды</t>
  </si>
  <si>
    <t>Политическая география мира</t>
  </si>
  <si>
    <t>Методика преподавания географии</t>
  </si>
  <si>
    <t>МузО, УХТиИЗО, Математика, Физика, Информатика, Химия, Биология, География,</t>
  </si>
  <si>
    <t>Экономическая и социальная география Казахстана</t>
  </si>
  <si>
    <t>Геоэкология Казахстана</t>
  </si>
  <si>
    <t xml:space="preserve">МузО, УХТиИЗО, Математика, Физика, Информатика, Химия, Биология, География, </t>
  </si>
  <si>
    <t>Физическая география Казахстана</t>
  </si>
  <si>
    <t>Общие географические методы</t>
  </si>
  <si>
    <t>География мирового хозяйства / География развития сельского хозяйства: глобальные тенденции, региональные контрасты</t>
  </si>
  <si>
    <t>География природных ресурсов / Охрана природы и рациональное природопользование</t>
  </si>
  <si>
    <t>Источниковедение</t>
  </si>
  <si>
    <t>Мир в Новое время (Восток)</t>
  </si>
  <si>
    <t>Религии и правовое регулирование в современном Казахстане</t>
  </si>
  <si>
    <t>Этнология</t>
  </si>
  <si>
    <t>Интеграционные и дезинтеграционные процессы в современном мире / Секуляризация и трансформация / Социология религии</t>
  </si>
  <si>
    <t>История (ІР)</t>
  </si>
  <si>
    <t>Историография Казахстана</t>
  </si>
  <si>
    <t>Мир в Новое время (Запад)</t>
  </si>
  <si>
    <t>Медиа и историческая память / Медиа-контент по истории Казахстана / Устная история: теория и практика</t>
  </si>
  <si>
    <t>Визуальная история / Основы антропологии / Проблемы исторического понимания. Историческое сознание</t>
  </si>
  <si>
    <t>Синтаксис современного казахского языка</t>
  </si>
  <si>
    <t>ПиП, ДОиВ, ПиМНО, КЯ</t>
  </si>
  <si>
    <t>Основы теории литературы</t>
  </si>
  <si>
    <t>Новые направления казахского языкознания</t>
  </si>
  <si>
    <t>Казахская литература начала ХХ века</t>
  </si>
  <si>
    <t>Инновационные методы обучения художественным произведениям / Мухтароведение</t>
  </si>
  <si>
    <t>Методика и технологии обучения русскому языку</t>
  </si>
  <si>
    <t>Русская литература 20 века (1 половина)</t>
  </si>
  <si>
    <t>Синтаксический строй русского языка I</t>
  </si>
  <si>
    <t>Лингвокультурологический анализ текста / Основы этнолингвистики / Психолингвистика</t>
  </si>
  <si>
    <t>Культура деловой коммуникации: современные тренды / Метаязык науки и академическое письмо</t>
  </si>
  <si>
    <t>РЯ (ІР)</t>
  </si>
  <si>
    <t>Русская литература 20 века (2 половина)</t>
  </si>
  <si>
    <t>Синтаксический строй русского языка II</t>
  </si>
  <si>
    <t>Моделирование уроков русского языка и литературы / Цифровые технологии в практике учителя русского языка и литературы</t>
  </si>
  <si>
    <t>Культура речи и стилистика / Риторика и основы спичрайтинга / Русский язык в его функциональных разновидностях</t>
  </si>
  <si>
    <t>Практический курс русского языка / Трудные вопросы орфографии и пунктуации</t>
  </si>
  <si>
    <t>Методика преподавания английского языка в школе</t>
  </si>
  <si>
    <t>Методика преподавания русского языка и литературы в школе</t>
  </si>
  <si>
    <t>Морфология современного русского языка</t>
  </si>
  <si>
    <t>Практический английский язык С1-1</t>
  </si>
  <si>
    <t>ИЯ РЯ</t>
  </si>
  <si>
    <t>Зарубежная литература в школьном изучении</t>
  </si>
  <si>
    <t>Основы теории иностранного языка ( лексикология, теоретическая грамматика английского языка)</t>
  </si>
  <si>
    <t>Практический английский язык С1-2</t>
  </si>
  <si>
    <t>Синтаксис современного русского языка</t>
  </si>
  <si>
    <t>Русская литература XIX века</t>
  </si>
  <si>
    <t>Инновационные методы преподавания английского и русского языков / Современные тенденции в TESOL</t>
  </si>
  <si>
    <t>Методика обучения казахскому (русскому) языку в начальной школе</t>
  </si>
  <si>
    <t>Практический английский язык (С1-1)</t>
  </si>
  <si>
    <t>ИЯ НК</t>
  </si>
  <si>
    <t>Практический английский язык (C1-2)</t>
  </si>
  <si>
    <t>Основы теории изучаемого языка / Предметно-языковое интегрированное обучение</t>
  </si>
  <si>
    <t>Методика преподавания иностранных языков</t>
  </si>
  <si>
    <t>ИЯ РЯ, ИЯ НК, ИЯ</t>
  </si>
  <si>
    <t>Основные произведения Британской и Американской литературы</t>
  </si>
  <si>
    <t>Практический английский (С1) -1</t>
  </si>
  <si>
    <t>Практический английский (С1) -2</t>
  </si>
  <si>
    <t>Инновационные технологии в иноязычном образовании</t>
  </si>
  <si>
    <t>Теоретическая грамматика английского языка</t>
  </si>
  <si>
    <t>Второй иностранный язык В2 (китайский язык) / Второй иностранный язык В2 (немецкий язык) / Второй иностранный язык В2 (турецкий язык) / Второй иностранный язык В2 (французский язык)</t>
  </si>
  <si>
    <t>Материаловедение</t>
  </si>
  <si>
    <t>Профильный английский язык 2</t>
  </si>
  <si>
    <t>Профильный английский язык 3</t>
  </si>
  <si>
    <t>Архдизайн, Графдизайн, Вебдизайн</t>
  </si>
  <si>
    <t>Профессионально-ориентированный иностранный язык (английский)</t>
  </si>
  <si>
    <t>Деловой китайский язык 1</t>
  </si>
  <si>
    <t>Деловой китайский язык 2</t>
  </si>
  <si>
    <t>Авторские программы и педагогические системы дошкольного образования</t>
  </si>
  <si>
    <t>Инновационные технологии в дошкольном образовании</t>
  </si>
  <si>
    <t>Исследовательская и проектная деятельность в дошкольном образовательном учреждении</t>
  </si>
  <si>
    <t>Конструкция и робототехника в дошкольном образовательном учреждении</t>
  </si>
  <si>
    <t>Образование: глобальное видение</t>
  </si>
  <si>
    <t>Современные технологии воспитания</t>
  </si>
  <si>
    <t>Исследования в действии / Методы исследований и анализа данных в образовании</t>
  </si>
  <si>
    <t>Арт-терапия в образовании / Семейное воспитание и психология</t>
  </si>
  <si>
    <t>Методика работы в классе предшкольной подготовки / Преемственность дошкольного и начального образования</t>
  </si>
  <si>
    <t>Стратегии технологии критического мышления</t>
  </si>
  <si>
    <t>Управления педагогическим процессом в начальной школе</t>
  </si>
  <si>
    <t>История образования</t>
  </si>
  <si>
    <t>Цифровая дидактика в начальной школе</t>
  </si>
  <si>
    <t>Организация научного исследования в начальной школе / Проектная деятельность учащихся начальных классов</t>
  </si>
  <si>
    <t>Инновационные технологии в образовании / Эмоциональный интеллект</t>
  </si>
  <si>
    <t>Компьютерные сети</t>
  </si>
  <si>
    <t>Основы информационной безопасности</t>
  </si>
  <si>
    <t>Проектный менеджмент / Технологическое предпринимательство</t>
  </si>
  <si>
    <t>Современная казахская литература</t>
  </si>
  <si>
    <t>Функциональная грамматика казахского языка</t>
  </si>
  <si>
    <t>Методика преподавания обновленного содержания образования</t>
  </si>
  <si>
    <t>Современный литературный процесс</t>
  </si>
  <si>
    <t>История казахской литературной критики / Основы литературного анализа художественного текста</t>
  </si>
  <si>
    <t>Историческая грамматика казахского языка / История казахского литературного языка</t>
  </si>
  <si>
    <t>Методика преподавания второго языка</t>
  </si>
  <si>
    <t>Академический английский</t>
  </si>
  <si>
    <t>Технологии дистанционного обучения / Практика преподавания иностранного языка: дифференцированное обучение</t>
  </si>
  <si>
    <t>Второй иностранный язык В2 (китайский язык) / Второй иностранный язык В2 (французский язык) / Второй иностранный язык B2 (немецкий язык) / Второй иностранный язык B2 (турецкий язык)</t>
  </si>
  <si>
    <t>нем-31 студ-2 гр, фр-94 студ-4 гр</t>
  </si>
  <si>
    <t>0,5 кредит концертмейстерге</t>
  </si>
  <si>
    <t>2 кр-преп
1 кр-конц</t>
  </si>
  <si>
    <t xml:space="preserve">8 кр-преп (7*3+1*2)
4 кр-конц </t>
  </si>
  <si>
    <r>
      <rPr>
        <b/>
        <sz val="14"/>
        <color theme="1"/>
        <rFont val="Times New Roman"/>
        <family val="1"/>
        <charset val="204"/>
      </rPr>
      <t>Декоративно-прикладное искусство 1 (для девочек)</t>
    </r>
    <r>
      <rPr>
        <sz val="14"/>
        <color theme="1"/>
        <rFont val="Times New Roman"/>
        <family val="1"/>
        <charset val="204"/>
      </rPr>
      <t xml:space="preserve"> / Декоративно-прикладное искусство 1 (для мальчиков)</t>
    </r>
  </si>
  <si>
    <t>по группам</t>
  </si>
  <si>
    <t>турец-2, кит-7, нем-1, франц-3</t>
  </si>
  <si>
    <r>
      <rPr>
        <b/>
        <sz val="14"/>
        <color theme="1"/>
        <rFont val="Times New Roman"/>
        <family val="1"/>
        <charset val="204"/>
      </rPr>
      <t>Декоративно-прикладное искусство 2 (для девочек)</t>
    </r>
    <r>
      <rPr>
        <sz val="14"/>
        <color theme="1"/>
        <rFont val="Times New Roman"/>
        <family val="1"/>
        <charset val="204"/>
      </rPr>
      <t xml:space="preserve"> / Декоративно-прикладное искусство 2 (для мальчиков)</t>
    </r>
  </si>
  <si>
    <t>кит-2 гр 26 студ, фр-2 гр 23 студ</t>
  </si>
  <si>
    <t>Практикум психолого-педагогической коррекция и психотерапии</t>
  </si>
  <si>
    <t>Экспериментальная психология</t>
  </si>
  <si>
    <t>Применение ИКТ в математико-статистическом анализе в современной психологии</t>
  </si>
  <si>
    <t>Семейная психология и семейное консультирование / Психология конфликтов в сфере образования</t>
  </si>
  <si>
    <t>Психокоррекция эмоционально-поведенческой сферы детей / Психокоррекция детско - родительских и семейных отношений</t>
  </si>
  <si>
    <t>Преемственность дошкольного и начального образования / Методика работы в классе предшкольной подготовки</t>
  </si>
  <si>
    <t>Эмоциональный интеллект / Инновационные технологии в образовании</t>
  </si>
  <si>
    <t>ПИМНО</t>
  </si>
  <si>
    <t>Основной музыкальный инструмент 4 уровень (фортепиано, баян)</t>
  </si>
  <si>
    <t>Хоровое дирижирование и практикум работы с хором 3</t>
  </si>
  <si>
    <t>Коллективное музыкальное творчество 2 (Оркестр народных инструментов)</t>
  </si>
  <si>
    <t>Хоровое пение</t>
  </si>
  <si>
    <t>Сольное музыкальное исполнительство 4 уровень ( Хоровое дирижирование)</t>
  </si>
  <si>
    <t>Основы игры на электронных музыкальных инструментах / Основы игры на синтезаторе</t>
  </si>
  <si>
    <t>Цифровые технологии в музыкальном образовании / Инновации в музыкальном образовании и применение мультимедийных технологий в школе</t>
  </si>
  <si>
    <t>Организация культурно-досуговой деятельности / Организация внеклассной работы по музыке</t>
  </si>
  <si>
    <t>Академическая живопись 3</t>
  </si>
  <si>
    <t>Ювелирное искусство</t>
  </si>
  <si>
    <t>Художественная обработка материалов</t>
  </si>
  <si>
    <t>Проектирование и моделирование объектов дизайна / Макетирование</t>
  </si>
  <si>
    <t>Численные методы и пакет математических программ-2</t>
  </si>
  <si>
    <t>Логические и методические основы решения задач (НКТ, Исследование)</t>
  </si>
  <si>
    <t>Элементы функционального анализа</t>
  </si>
  <si>
    <t>Уравнения математической физики</t>
  </si>
  <si>
    <t>Избранные вопросы методики преподавания математики / Методические основы решения математических задач</t>
  </si>
  <si>
    <t>Практикум по решению геометрических задач / Внешняя оценка учебных достижений школьников по математике (PISA, SAT, SET, EНT)</t>
  </si>
  <si>
    <t>Микроэлектроника</t>
  </si>
  <si>
    <t>Физика элементарных частиц</t>
  </si>
  <si>
    <t>Физические принципы ядерной медицины</t>
  </si>
  <si>
    <t>Физика конденсированного состояния (физика твердого тела) / Статистическая физика</t>
  </si>
  <si>
    <t>Компьютерное моделирование физических процессов / Моделирование физических свойств наноматериалов</t>
  </si>
  <si>
    <t>Нейтронная физика / Радиационная физика твердого тела</t>
  </si>
  <si>
    <t>Химическая технология</t>
  </si>
  <si>
    <t>Квантовая химия / Строение вещества</t>
  </si>
  <si>
    <t>Координационная химия / Радиационная химия и радиационная безопасность</t>
  </si>
  <si>
    <t>Химия природных соединений / Экологическая химия</t>
  </si>
  <si>
    <t>Химический синтез / Химия окружающей среды</t>
  </si>
  <si>
    <t>Основы биомедицины и биотехнологии</t>
  </si>
  <si>
    <t>Теория эволюции</t>
  </si>
  <si>
    <t>Основы биофизики</t>
  </si>
  <si>
    <t>Методология научных исследований в биологии</t>
  </si>
  <si>
    <t>Математические методы в биологии / Биометрия</t>
  </si>
  <si>
    <t>Экскурсионные работы в биологии / Организация опытнической работы на пришкольном участке</t>
  </si>
  <si>
    <t>География транспорта и инфраструктуры</t>
  </si>
  <si>
    <t>Рекреационная география и туризм</t>
  </si>
  <si>
    <t>Геоурбанистика</t>
  </si>
  <si>
    <t>География населения</t>
  </si>
  <si>
    <t>Геоинформационные технологии обработки геоэкологических данных / Методы регионального анализа с использованием ГИС-технологий</t>
  </si>
  <si>
    <t>Природное и культурное наследие РК и мира / Сакральная география Казахстана и основы топонимика</t>
  </si>
  <si>
    <t>История движения "Алаш"</t>
  </si>
  <si>
    <t>Демография и статистика населения</t>
  </si>
  <si>
    <t>История мировой культуры / История мировых религий</t>
  </si>
  <si>
    <t>История тюркских народов / Правовая культура казахского социума</t>
  </si>
  <si>
    <t>Военная история казахов / Кочевая цивилизация казахов</t>
  </si>
  <si>
    <t>История</t>
  </si>
  <si>
    <t>Основы литературного анализа художественного текста / История казахской литературной критики</t>
  </si>
  <si>
    <t>Общее языкознание</t>
  </si>
  <si>
    <t>Лингвостилистический анализ текста в школе</t>
  </si>
  <si>
    <t>Русская литература Казахстана в школьном изучении</t>
  </si>
  <si>
    <t>Русская литература ХХ века (2 половина)</t>
  </si>
  <si>
    <t>Анализ и интерпретация драматического и прозаического текста на уроках литературы / Теория литературы</t>
  </si>
  <si>
    <t>Сопоставительная грамматика казахского и русского языков / Культура речи и деловая риторика</t>
  </si>
  <si>
    <t>РЯ</t>
  </si>
  <si>
    <t>Академический английский язык</t>
  </si>
  <si>
    <t>Русская литература XX века</t>
  </si>
  <si>
    <t>Сопоставительная грамматика казахского и русского языков / Русская литература Казахстана в школьном изучении</t>
  </si>
  <si>
    <t>Анализ и интерпретация художественного текста на уроках литературы / Лингвостилистический анализ текста в школе</t>
  </si>
  <si>
    <t>Межкультурная коммуникация на уроках английского языка / Стилистика английского языка</t>
  </si>
  <si>
    <t>Страноведение (Великобритания, США)</t>
  </si>
  <si>
    <t>Контроль знаний учащихся школ по системе критериального оценивания / Мониторинг уровня формирования навыков функциональной грамотности</t>
  </si>
  <si>
    <t>Межкультурная коммуникация на уроках иностранного языка / Стилистика английского языка</t>
  </si>
  <si>
    <t>Профильный английский язык 4</t>
  </si>
  <si>
    <t>Архдизайн. Графдизайн, Вебдизайн</t>
  </si>
  <si>
    <t>Иностранный язык (профессиональный)</t>
  </si>
  <si>
    <t>Психолого-педагогические основы и технологии преподавания в высшей школе</t>
  </si>
  <si>
    <t>Современные проблемы биологии</t>
  </si>
  <si>
    <t>Биогеоценология</t>
  </si>
  <si>
    <t>Избранные главы биологии / Молекулярная эволюция биосистем</t>
  </si>
  <si>
    <t>Современные методы биологических исследований</t>
  </si>
  <si>
    <t>Сохранение биоразнообразия и рациональное использование природных ресурсов</t>
  </si>
  <si>
    <t>Популяционная биология растений / Принципы биологической номенклатуры</t>
  </si>
  <si>
    <t>Особенности организации биологического образования в школе и вузе / Педагогическое проектирование и моделирование в обучении биологии</t>
  </si>
  <si>
    <t>Применение виртуальной лаборатории в биологическом образовании / Цифровой контент в биологическом образовании</t>
  </si>
  <si>
    <t>Биология пед</t>
  </si>
  <si>
    <t>Современные проблемы географической науки</t>
  </si>
  <si>
    <t>Геоинформационное обеспечение научно-исследовательских работ</t>
  </si>
  <si>
    <t>История, теория и методология географической науки / Методология исследований по теории и методике обучения географии</t>
  </si>
  <si>
    <t>Особенности организации географического образования в школе и вузе</t>
  </si>
  <si>
    <t>Технологии физико-географических исследований</t>
  </si>
  <si>
    <t>Проектирование туристско-рекреационных систем / Экологические проблемы рекреационного природопользования</t>
  </si>
  <si>
    <t>Современные концепции политической географии и геополитики / Цифровая трансформация географического образования</t>
  </si>
  <si>
    <t>Геоэкологические проблемы урбанизированных территорий / Региональная геоморфология</t>
  </si>
  <si>
    <t>Фундаментальные вопросы математического анализа</t>
  </si>
  <si>
    <t>Фундаментальные вопросы алгебры, геометрии и логики</t>
  </si>
  <si>
    <t>Методы и приемы решения задач планиметрии / Методы и приемы решения задач стереометрии</t>
  </si>
  <si>
    <t>Методика обучения решению краевых задач</t>
  </si>
  <si>
    <t>Технология проектной деятельности в математике и образовании</t>
  </si>
  <si>
    <t>Современные технологии обучения математике / Теория и методические основы преподавания математики</t>
  </si>
  <si>
    <t>Нестандартные методы решения математических задач / Теоретические основы обучения решению математических задач</t>
  </si>
  <si>
    <t>Современные методы оценки результатов обучения математике / Теоретические основы формирования методической компетентности учителей математики</t>
  </si>
  <si>
    <t>Методика преподавания современного казахского языка в высшей школе</t>
  </si>
  <si>
    <t>Социолингвистика</t>
  </si>
  <si>
    <t>Новые направления языкознания / Проблемы современного казахского языкознания</t>
  </si>
  <si>
    <t>Методика преподавания литературы в высшей школе</t>
  </si>
  <si>
    <t>Методология применения цифровых технологий в научных исследованиях казахской филологии</t>
  </si>
  <si>
    <t>Tеоретические методологические основы литературоведческих исследований / История изучения литературной науки</t>
  </si>
  <si>
    <t>Западная классическая литература / Литература тюркских народов</t>
  </si>
  <si>
    <t>Интернет-технологии в межкультурной коммуникации / Лингвокультурологические исследования и культура речи</t>
  </si>
  <si>
    <t>Исследования в области образования (на английском)</t>
  </si>
  <si>
    <t>Инновационные методы преподавания иностранного языка / Современная методология иноязычного образования</t>
  </si>
  <si>
    <t>Контрастивная лингвистика</t>
  </si>
  <si>
    <t>Научно-образовательный инновационно-интегративный базис иноязычного профобразования</t>
  </si>
  <si>
    <t>Обучение второму иностранному языку – 2 / Профессионально – ориентированный второй иностранный язык (французский, немецкий) - 2</t>
  </si>
  <si>
    <t>Межкультурная коммуникация в преподавании иностранного языка / Продвинутый английский</t>
  </si>
  <si>
    <t>Системы компьютерного моделирования и проектирования</t>
  </si>
  <si>
    <t>Биология пед, География, Математика, КЯ, ИЯ, Экология, Экономика, Менеджмент, МП, Право, МО, Психология, IT Менеджмент, ВТИПО</t>
  </si>
  <si>
    <t>1,5 кр-преп
0,75 кр-конц</t>
  </si>
  <si>
    <t>3 кр-преп
1,5 кр-конц</t>
  </si>
  <si>
    <t>8 гр-преп 12кр
8 гр-конц 6кр</t>
  </si>
  <si>
    <r>
      <rPr>
        <b/>
        <sz val="14"/>
        <color theme="1"/>
        <rFont val="Times New Roman"/>
        <family val="1"/>
        <charset val="204"/>
      </rPr>
      <t>Конструирование и моделирование швейных изделий (для девочек)</t>
    </r>
    <r>
      <rPr>
        <sz val="14"/>
        <color theme="1"/>
        <rFont val="Times New Roman"/>
        <family val="1"/>
        <charset val="204"/>
      </rPr>
      <t xml:space="preserve"> / Электротехника и основы электроники (для мальчиков)</t>
    </r>
  </si>
  <si>
    <t>китайский 3гр, турецкий 1гр, немецкий 1гр, французский 1гр</t>
  </si>
  <si>
    <t>немецкий</t>
  </si>
  <si>
    <t>Биалогия пед</t>
  </si>
  <si>
    <t>Актуальные проблемы современной физики</t>
  </si>
  <si>
    <t>Основные проблемы нанотехнологий и наноматериалов</t>
  </si>
  <si>
    <t>Избранные вопросы курсов «Механика» и «Молекулярная физика» / Физика волновых процессов</t>
  </si>
  <si>
    <t>Методы компьютерного моделирования физических процессов / Столкновительные процессы в плотной плазме</t>
  </si>
  <si>
    <t>Избранные вопросы курсов "Оптика" и "Ядерной физики" / Избранные вопросы курсов «Электричество и магнетизм» и «Атомная физика»</t>
  </si>
  <si>
    <t>Методические основы подготовки к олимпиадам по химии</t>
  </si>
  <si>
    <t>Современные методологические основы преподавания физической и коллоидной химии</t>
  </si>
  <si>
    <t>Методы поиска и использования химической информации / Современные физико-химические методы исследования веществ и материалов</t>
  </si>
  <si>
    <t>Полимерные материалы и композиты / Экологические проблемы химического производства и зеленая химия</t>
  </si>
  <si>
    <t>Современные проблемы органической химии / Стереохимия органических соединений</t>
  </si>
  <si>
    <t>Преподавание информатики и теории обучения</t>
  </si>
  <si>
    <t>Технологии разработки интеллектуальных систем</t>
  </si>
  <si>
    <t>Проектирование содержания учебного процесса и ситуаций инновационного обучения в школе и в вузе / Современные проблемы методики обучения информатики в школе и вузе</t>
  </si>
  <si>
    <t>Теория технологии Blockchain / Технологии Big Data</t>
  </si>
  <si>
    <t>нем 2 гр-23 маг, фр 2 гр-25 маг</t>
  </si>
  <si>
    <t>нем-16-1 гр, тур-25-2 гр, франц-53-3 гр</t>
  </si>
  <si>
    <t>12 гр-преп 18кр</t>
  </si>
  <si>
    <t>1 кр-преп
0,5 кр-конц</t>
  </si>
  <si>
    <t xml:space="preserve">6 кр-преп (5*4+3*1)
3 кр-конц </t>
  </si>
  <si>
    <t xml:space="preserve">9 кр-преп (5*4+3*1)
4,5 кр-конц </t>
  </si>
  <si>
    <r>
      <t xml:space="preserve">Контингент на </t>
    </r>
    <r>
      <rPr>
        <b/>
        <sz val="14"/>
        <color rgb="FFFF0000"/>
        <rFont val="Times New Roman"/>
        <family val="1"/>
        <charset val="204"/>
      </rPr>
      <t>03.07.2026</t>
    </r>
  </si>
  <si>
    <r>
      <t xml:space="preserve">ДОиВ ІР, НО ІР, </t>
    </r>
    <r>
      <rPr>
        <sz val="14"/>
        <color rgb="FFFF0000"/>
        <rFont val="Times New Roman"/>
        <family val="1"/>
        <charset val="204"/>
      </rPr>
      <t>История ІР (лек)</t>
    </r>
  </si>
  <si>
    <t>ДОиВ, КЯ, ПиМНО</t>
  </si>
  <si>
    <t>МузО, Труд ІР, УХТ ІР, Матем, Физика, Информатика, Химия, Биология, География, АЯ/кит, АЯ ІР, ИЯ</t>
  </si>
  <si>
    <t>ПДКЯ, Биоинформатика, Biosafety, Биология науч, ЭиП, Геоинформатика, ВРиГ, РГиТ, ДС, ИС, ВТиПО</t>
  </si>
  <si>
    <t>История ІР, ПиП, ДОиВ ІР, НО ІР, КЯ, РЯ ІР, Экономика, Финансы, Маркетинг, Менеджмент, МБ, Туризм, Юриспруденция, МП</t>
  </si>
  <si>
    <t>ДОиВ ІР, История ІР, РЯ ІР</t>
  </si>
  <si>
    <t>НО ІР, История ІР</t>
  </si>
  <si>
    <t>ДОиВ (ІР), НО (ІР), РЯ (ІР), История (ІР)</t>
  </si>
  <si>
    <t>История (ІР), РЯ (ІР)</t>
  </si>
  <si>
    <t>МузО, УХТиИЗО, Математика, Физика, Информатика, Химия, Биология, География</t>
  </si>
  <si>
    <t>ПиП, ДОиВ, ПИМНО, КЯ, РЯ, История</t>
  </si>
  <si>
    <t>Менеджмент</t>
  </si>
  <si>
    <t>Эмоциональный интеллект</t>
  </si>
  <si>
    <t>с 2 курс ДОиВ типо</t>
  </si>
  <si>
    <t>Основы теории второго иностранного языка</t>
  </si>
  <si>
    <t>с 3 курс ДОиВ СО</t>
  </si>
  <si>
    <t>НО (ІР), РЯ (ІР), История (ІР)</t>
  </si>
  <si>
    <t>Зәкиева</t>
  </si>
  <si>
    <t>Жакатаев Т.А</t>
  </si>
  <si>
    <t>Нуркенов С.А</t>
  </si>
  <si>
    <t>Зәкиева Ж.Е</t>
  </si>
  <si>
    <t xml:space="preserve">Нуркенов С.А </t>
  </si>
  <si>
    <t xml:space="preserve">Жакатаев Т.А </t>
  </si>
  <si>
    <t xml:space="preserve">Зәкиева Ж,Е </t>
  </si>
  <si>
    <t>Зәкиева Ж Е</t>
  </si>
  <si>
    <t>Шуиншина Ш.М</t>
  </si>
  <si>
    <t>Умбетов А.У</t>
  </si>
  <si>
    <t xml:space="preserve">Электричество и магнетизм </t>
  </si>
  <si>
    <t>Ергалиева Г.Т</t>
  </si>
  <si>
    <t>Ергалмева Г.Т</t>
  </si>
  <si>
    <t>Медешова А.Б.</t>
  </si>
  <si>
    <t>Баумуратова Д.Б.</t>
  </si>
  <si>
    <t>Жабаев Е.Х.</t>
  </si>
  <si>
    <t>Дамекова С.К.</t>
  </si>
  <si>
    <t>Серікқазы Ә.С.</t>
  </si>
  <si>
    <t>Мәлік О.Ж.</t>
  </si>
  <si>
    <t>Жамалова С.А.</t>
  </si>
  <si>
    <t>Мырзаева Ж.Л.</t>
  </si>
  <si>
    <t>Баумуроатова Д.Б.</t>
  </si>
  <si>
    <t>Медешова А.Б.-2,5, Дамекова С.К.-1</t>
  </si>
  <si>
    <r>
      <rPr>
        <sz val="14"/>
        <color rgb="FFFF0000"/>
        <rFont val="Times New Roman"/>
        <family val="1"/>
        <charset val="204"/>
      </rPr>
      <t>Искусственный интеллек</t>
    </r>
    <r>
      <rPr>
        <sz val="14"/>
        <color theme="1"/>
        <rFont val="Times New Roman"/>
        <family val="1"/>
        <charset val="204"/>
      </rPr>
      <t>т / Введение в машинное обучение</t>
    </r>
  </si>
  <si>
    <r>
      <t>Введение в программирование iOS /</t>
    </r>
    <r>
      <rPr>
        <sz val="14"/>
        <color rgb="FFFF0000"/>
        <rFont val="Times New Roman"/>
        <family val="1"/>
        <charset val="204"/>
      </rPr>
      <t xml:space="preserve"> Разработка мобильных приложений (Android)</t>
    </r>
  </si>
  <si>
    <r>
      <t>Инженерная компьютерная графика и 3D моделирования /</t>
    </r>
    <r>
      <rPr>
        <sz val="14"/>
        <color rgb="FFFF0000"/>
        <rFont val="Times New Roman"/>
        <family val="1"/>
        <charset val="204"/>
      </rPr>
      <t xml:space="preserve"> Мультимединые технологий</t>
    </r>
  </si>
  <si>
    <r>
      <t xml:space="preserve">Введение в программирование iOS / </t>
    </r>
    <r>
      <rPr>
        <sz val="14"/>
        <color rgb="FFFF0000"/>
        <rFont val="Times New Roman"/>
        <family val="1"/>
        <charset val="204"/>
      </rPr>
      <t xml:space="preserve">Разработка мобильных приложений (Android) </t>
    </r>
  </si>
  <si>
    <r>
      <t xml:space="preserve">Инженерная компьютерная графика и 3D моделирования / </t>
    </r>
    <r>
      <rPr>
        <sz val="14"/>
        <color rgb="FFFF0000"/>
        <rFont val="Times New Roman"/>
        <family val="1"/>
        <charset val="204"/>
      </rPr>
      <t>Мультимедийные технологии</t>
    </r>
  </si>
  <si>
    <r>
      <rPr>
        <sz val="14"/>
        <color rgb="FFFF0000"/>
        <rFont val="Times New Roman"/>
        <family val="1"/>
        <charset val="204"/>
      </rPr>
      <t>Компьютерная графика(IP)</t>
    </r>
    <r>
      <rPr>
        <sz val="14"/>
        <color theme="1"/>
        <rFont val="Times New Roman"/>
        <family val="1"/>
        <charset val="204"/>
      </rPr>
      <t xml:space="preserve"> / Профессиональные дизайнерские компьютерные программы (IP)</t>
    </r>
  </si>
  <si>
    <r>
      <t>Введение в машинное обучение /</t>
    </r>
    <r>
      <rPr>
        <sz val="14"/>
        <color rgb="FFFF0000"/>
        <rFont val="Times New Roman"/>
        <family val="1"/>
        <charset val="204"/>
      </rPr>
      <t xml:space="preserve"> </t>
    </r>
    <r>
      <rPr>
        <b/>
        <u/>
        <sz val="14"/>
        <color rgb="FFFF0000"/>
        <rFont val="Times New Roman"/>
        <family val="1"/>
        <charset val="204"/>
      </rPr>
      <t>Искусственный интеллект</t>
    </r>
  </si>
  <si>
    <r>
      <rPr>
        <sz val="14"/>
        <rFont val="Times New Roman"/>
        <family val="1"/>
        <charset val="204"/>
      </rPr>
      <t xml:space="preserve">IoT технологий </t>
    </r>
    <r>
      <rPr>
        <sz val="14"/>
        <color theme="1"/>
        <rFont val="Times New Roman"/>
        <family val="1"/>
        <charset val="204"/>
      </rPr>
      <t>/</t>
    </r>
    <r>
      <rPr>
        <u/>
        <sz val="14"/>
        <color theme="1"/>
        <rFont val="Times New Roman"/>
        <family val="1"/>
        <charset val="204"/>
      </rPr>
      <t xml:space="preserve"> </t>
    </r>
    <r>
      <rPr>
        <b/>
        <u/>
        <sz val="14"/>
        <color rgb="FFFF0000"/>
        <rFont val="Times New Roman"/>
        <family val="1"/>
        <charset val="204"/>
      </rPr>
      <t>Виртуальная и дополненная реальность</t>
    </r>
  </si>
  <si>
    <r>
      <rPr>
        <sz val="14"/>
        <rFont val="Times New Roman"/>
        <family val="1"/>
        <charset val="204"/>
      </rPr>
      <t xml:space="preserve">IoT технологий </t>
    </r>
    <r>
      <rPr>
        <sz val="14"/>
        <color theme="1"/>
        <rFont val="Times New Roman"/>
        <family val="1"/>
        <charset val="204"/>
      </rPr>
      <t xml:space="preserve">/ </t>
    </r>
    <r>
      <rPr>
        <b/>
        <u/>
        <sz val="14"/>
        <color rgb="FFFF0000"/>
        <rFont val="Times New Roman"/>
        <family val="1"/>
        <charset val="204"/>
      </rPr>
      <t>Виртуальная и дополненная реальность</t>
    </r>
  </si>
  <si>
    <t>Медешова А.Б.-3, Дамекова С.К.-1</t>
  </si>
  <si>
    <t>Кубентаева С.Н. - 0,5, Жамалова С.А. - 1,5, Мырзаева Ж.Л. - 2, Серікқазы Ә.С. - 1,5</t>
  </si>
  <si>
    <t>Дамекова С.К.-0,5, Кубентаева С.Н. -1</t>
  </si>
  <si>
    <t>Кубентаева С.Н.</t>
  </si>
  <si>
    <t>Жамалова С.А. -1, Тоқанова С.О.-3</t>
  </si>
  <si>
    <t>Кабдрахманова З.Г. -4, Жамалова С.А.-2, Тоқанова С.О.- 1</t>
  </si>
  <si>
    <t>Жамалова С.А.-5, Серікқазы Ә.С.-2</t>
  </si>
  <si>
    <t>Медешова А.Б. - 0,5, Жамалова С.А. - 2, Серікқазы Ә.С.-2</t>
  </si>
  <si>
    <t>Медешова А.Б. - 1, Кубентаева С.Н. - 2 Жабаев Е.Х. -1, Жамалова С.А. - 8, Мырзаева Ж.Л. - 10,5, Серікқазы Ә.С. - 8, Токанова С.О. -8,5</t>
  </si>
  <si>
    <t>Баумуратова</t>
  </si>
  <si>
    <t>Серікқазы Ә.С.-1 Тоқанова С.О.-3</t>
  </si>
  <si>
    <t>Серікқазы Ә.С. -2,5 То0анова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</si>
</sst>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u/>
      <sz val="14"/>
      <color rgb="FFFF0000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04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0" xfId="0" applyFont="1"/>
    <xf numFmtId="0" fontId="8" fillId="0" borderId="0" xfId="0" applyFont="1"/>
    <xf numFmtId="0" fontId="8" fillId="0" borderId="1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1" fillId="4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 wrapText="1"/>
    </xf>
    <xf numFmtId="0" fontId="0" fillId="6" borderId="0" xfId="0" applyFill="1"/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10" fillId="0" borderId="0" xfId="0" applyFont="1" applyFill="1"/>
    <xf numFmtId="0" fontId="13" fillId="0" borderId="0" xfId="0" applyFont="1"/>
    <xf numFmtId="0" fontId="14" fillId="0" borderId="0" xfId="0" applyFont="1"/>
    <xf numFmtId="164" fontId="14" fillId="0" borderId="0" xfId="0" applyNumberFormat="1" applyFont="1"/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B115"/>
  <sheetViews>
    <sheetView tabSelected="1" zoomScale="40" zoomScaleNormal="40" workbookViewId="0">
      <pane xSplit="7" ySplit="4" topLeftCell="H36" activePane="bottomRight" state="frozen"/>
      <selection pane="topRight" activeCell="H1" sqref="H1"/>
      <selection pane="bottomLeft" activeCell="A5" sqref="A5"/>
      <selection pane="bottomRight" activeCell="W102" sqref="W102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22.77734375" style="2" customWidth="1"/>
    <col min="6" max="6" width="19.44140625" style="2" bestFit="1" customWidth="1"/>
    <col min="7" max="7" width="41.77734375" style="6" customWidth="1"/>
    <col min="8" max="8" width="14.21875" style="2" customWidth="1"/>
    <col min="9" max="9" width="13.21875" style="11" customWidth="1"/>
    <col min="10" max="10" width="12" style="11" customWidth="1"/>
    <col min="11" max="11" width="12.5546875" style="1" customWidth="1"/>
    <col min="12" max="12" width="11.21875" style="11" customWidth="1"/>
    <col min="13" max="13" width="10.21875" style="21" customWidth="1"/>
    <col min="14" max="14" width="15.5546875" style="11" customWidth="1"/>
    <col min="15" max="15" width="12.5546875" style="11" customWidth="1"/>
    <col min="16" max="16" width="13.21875" style="1" customWidth="1"/>
    <col min="17" max="17" width="13.21875" style="11" customWidth="1"/>
    <col min="18" max="18" width="11.21875" style="21" customWidth="1"/>
    <col min="19" max="19" width="14.77734375" style="11" customWidth="1"/>
    <col min="20" max="20" width="14.21875" style="11" customWidth="1"/>
    <col min="21" max="21" width="17.21875" style="1" customWidth="1"/>
    <col min="22" max="22" width="13.44140625" style="1" customWidth="1"/>
    <col min="23" max="23" width="48.77734375" style="11" customWidth="1"/>
    <col min="24" max="24" width="19" customWidth="1"/>
    <col min="25" max="25" width="24.33203125" bestFit="1" customWidth="1"/>
  </cols>
  <sheetData>
    <row r="2" spans="1:25" ht="32.25" customHeight="1" x14ac:dyDescent="0.3">
      <c r="B2" s="76" t="s">
        <v>19</v>
      </c>
      <c r="C2" s="76" t="s">
        <v>0</v>
      </c>
      <c r="D2" s="70" t="s">
        <v>561</v>
      </c>
      <c r="E2" s="71"/>
      <c r="F2" s="72"/>
      <c r="G2" s="76" t="s">
        <v>1</v>
      </c>
      <c r="H2" s="76" t="s">
        <v>2</v>
      </c>
      <c r="I2" s="80" t="s">
        <v>3</v>
      </c>
      <c r="J2" s="80" t="s">
        <v>4</v>
      </c>
      <c r="K2" s="86" t="s">
        <v>5</v>
      </c>
      <c r="L2" s="76" t="s">
        <v>6</v>
      </c>
      <c r="M2" s="81" t="s">
        <v>7</v>
      </c>
      <c r="N2" s="80" t="s">
        <v>8</v>
      </c>
      <c r="O2" s="80" t="s">
        <v>9</v>
      </c>
      <c r="P2" s="86" t="s">
        <v>10</v>
      </c>
      <c r="Q2" s="80" t="s">
        <v>11</v>
      </c>
      <c r="R2" s="81" t="s">
        <v>7</v>
      </c>
      <c r="S2" s="80" t="s">
        <v>12</v>
      </c>
      <c r="T2" s="80" t="s">
        <v>13</v>
      </c>
      <c r="U2" s="83" t="s">
        <v>14</v>
      </c>
      <c r="V2" s="83" t="s">
        <v>15</v>
      </c>
      <c r="W2" s="79" t="s">
        <v>16</v>
      </c>
    </row>
    <row r="3" spans="1:25" ht="36" customHeight="1" x14ac:dyDescent="0.3">
      <c r="B3" s="77"/>
      <c r="C3" s="77"/>
      <c r="D3" s="73"/>
      <c r="E3" s="74"/>
      <c r="F3" s="75"/>
      <c r="G3" s="77"/>
      <c r="H3" s="77"/>
      <c r="I3" s="80"/>
      <c r="J3" s="80"/>
      <c r="K3" s="86"/>
      <c r="L3" s="77"/>
      <c r="M3" s="82"/>
      <c r="N3" s="80"/>
      <c r="O3" s="80"/>
      <c r="P3" s="86"/>
      <c r="Q3" s="80"/>
      <c r="R3" s="82"/>
      <c r="S3" s="80"/>
      <c r="T3" s="80"/>
      <c r="U3" s="84"/>
      <c r="V3" s="84"/>
      <c r="W3" s="79"/>
    </row>
    <row r="4" spans="1:25" ht="51" customHeight="1" x14ac:dyDescent="0.3">
      <c r="B4" s="78"/>
      <c r="C4" s="78"/>
      <c r="D4" s="18" t="s">
        <v>17</v>
      </c>
      <c r="E4" s="18" t="s">
        <v>18</v>
      </c>
      <c r="F4" s="18" t="s">
        <v>149</v>
      </c>
      <c r="G4" s="78"/>
      <c r="H4" s="78"/>
      <c r="I4" s="80"/>
      <c r="J4" s="80"/>
      <c r="K4" s="86"/>
      <c r="L4" s="78"/>
      <c r="M4" s="73"/>
      <c r="N4" s="80"/>
      <c r="O4" s="80"/>
      <c r="P4" s="86"/>
      <c r="Q4" s="80"/>
      <c r="R4" s="73"/>
      <c r="S4" s="80"/>
      <c r="T4" s="80"/>
      <c r="U4" s="85"/>
      <c r="V4" s="85"/>
      <c r="W4" s="79"/>
    </row>
    <row r="5" spans="1:25" ht="35.549999999999997" customHeight="1" x14ac:dyDescent="0.3">
      <c r="A5" s="22" t="s">
        <v>150</v>
      </c>
      <c r="B5" s="62" t="s">
        <v>39</v>
      </c>
      <c r="C5" s="13" t="s">
        <v>17</v>
      </c>
      <c r="D5" s="64">
        <v>700</v>
      </c>
      <c r="E5" s="64">
        <v>76</v>
      </c>
      <c r="F5" s="64"/>
      <c r="G5" s="64" t="s">
        <v>564</v>
      </c>
      <c r="H5" s="64">
        <v>2</v>
      </c>
      <c r="I5" s="15">
        <v>60</v>
      </c>
      <c r="J5" s="15">
        <v>30</v>
      </c>
      <c r="K5" s="3">
        <v>0</v>
      </c>
      <c r="L5" s="15">
        <f>K5*30</f>
        <v>0</v>
      </c>
      <c r="M5" s="17">
        <v>0</v>
      </c>
      <c r="N5" s="15">
        <f>K5*M5</f>
        <v>0</v>
      </c>
      <c r="O5" s="15">
        <f>L5*M5</f>
        <v>0</v>
      </c>
      <c r="P5" s="3">
        <v>0.5</v>
      </c>
      <c r="Q5" s="15">
        <f>P5*30</f>
        <v>15</v>
      </c>
      <c r="R5" s="17">
        <v>14</v>
      </c>
      <c r="S5" s="15">
        <f>P5*R5</f>
        <v>7</v>
      </c>
      <c r="T5" s="15">
        <f>Q5*R5</f>
        <v>210</v>
      </c>
      <c r="U5" s="4">
        <f>N5+S5</f>
        <v>7</v>
      </c>
      <c r="V5" s="3">
        <f>O5+T5</f>
        <v>210</v>
      </c>
      <c r="W5" s="19"/>
    </row>
    <row r="6" spans="1:25" ht="40.950000000000003" customHeight="1" x14ac:dyDescent="0.3">
      <c r="B6" s="63"/>
      <c r="C6" s="13" t="s">
        <v>18</v>
      </c>
      <c r="D6" s="66"/>
      <c r="E6" s="66"/>
      <c r="F6" s="66"/>
      <c r="G6" s="66"/>
      <c r="H6" s="66"/>
      <c r="I6" s="15">
        <v>60</v>
      </c>
      <c r="J6" s="15">
        <v>30</v>
      </c>
      <c r="K6" s="3">
        <v>0</v>
      </c>
      <c r="L6" s="15">
        <f t="shared" ref="L6:L27" si="0">K6*30</f>
        <v>0</v>
      </c>
      <c r="M6" s="17">
        <v>0</v>
      </c>
      <c r="N6" s="15">
        <f t="shared" ref="N6:N27" si="1">K6*M6</f>
        <v>0</v>
      </c>
      <c r="O6" s="15">
        <f t="shared" ref="O6:O27" si="2">L6*M6</f>
        <v>0</v>
      </c>
      <c r="P6" s="3">
        <v>0.5</v>
      </c>
      <c r="Q6" s="15">
        <f t="shared" ref="Q6:Q27" si="3">P6*30</f>
        <v>15</v>
      </c>
      <c r="R6" s="17">
        <v>2</v>
      </c>
      <c r="S6" s="15">
        <f t="shared" ref="S6:S27" si="4">P6*R6</f>
        <v>1</v>
      </c>
      <c r="T6" s="15">
        <f t="shared" ref="T6:T27" si="5">Q6*R6</f>
        <v>30</v>
      </c>
      <c r="U6" s="4">
        <f t="shared" ref="U6:U27" si="6">N6+S6</f>
        <v>1</v>
      </c>
      <c r="V6" s="3">
        <f t="shared" ref="V6:V27" si="7">O6+T6</f>
        <v>30</v>
      </c>
      <c r="W6" s="19"/>
    </row>
    <row r="7" spans="1:25" ht="27" customHeight="1" x14ac:dyDescent="0.3">
      <c r="A7" s="7"/>
      <c r="B7" s="62" t="s">
        <v>39</v>
      </c>
      <c r="C7" s="13" t="s">
        <v>17</v>
      </c>
      <c r="D7" s="64">
        <v>632</v>
      </c>
      <c r="E7" s="64">
        <v>216</v>
      </c>
      <c r="F7" s="64">
        <v>20</v>
      </c>
      <c r="G7" s="64" t="s">
        <v>565</v>
      </c>
      <c r="H7" s="64">
        <v>2</v>
      </c>
      <c r="I7" s="15">
        <v>60</v>
      </c>
      <c r="J7" s="15">
        <v>30</v>
      </c>
      <c r="K7" s="3">
        <v>0</v>
      </c>
      <c r="L7" s="15">
        <f t="shared" si="0"/>
        <v>0</v>
      </c>
      <c r="M7" s="17">
        <v>0</v>
      </c>
      <c r="N7" s="15">
        <f t="shared" si="1"/>
        <v>0</v>
      </c>
      <c r="O7" s="15">
        <f t="shared" si="2"/>
        <v>0</v>
      </c>
      <c r="P7" s="3">
        <v>0.5</v>
      </c>
      <c r="Q7" s="15">
        <f t="shared" si="3"/>
        <v>15</v>
      </c>
      <c r="R7" s="17">
        <v>13</v>
      </c>
      <c r="S7" s="15">
        <f t="shared" si="4"/>
        <v>6.5</v>
      </c>
      <c r="T7" s="15">
        <f t="shared" si="5"/>
        <v>195</v>
      </c>
      <c r="U7" s="4">
        <f t="shared" si="6"/>
        <v>6.5</v>
      </c>
      <c r="V7" s="3">
        <f t="shared" si="7"/>
        <v>195</v>
      </c>
      <c r="W7" s="19"/>
    </row>
    <row r="8" spans="1:25" ht="25.95" customHeight="1" x14ac:dyDescent="0.3">
      <c r="A8" s="7"/>
      <c r="B8" s="67"/>
      <c r="C8" s="13" t="s">
        <v>18</v>
      </c>
      <c r="D8" s="65"/>
      <c r="E8" s="65"/>
      <c r="F8" s="65"/>
      <c r="G8" s="65"/>
      <c r="H8" s="65"/>
      <c r="I8" s="15">
        <v>60</v>
      </c>
      <c r="J8" s="15">
        <v>30</v>
      </c>
      <c r="K8" s="3">
        <v>0</v>
      </c>
      <c r="L8" s="15">
        <f t="shared" si="0"/>
        <v>0</v>
      </c>
      <c r="M8" s="17">
        <v>0</v>
      </c>
      <c r="N8" s="15">
        <f t="shared" si="1"/>
        <v>0</v>
      </c>
      <c r="O8" s="15">
        <f t="shared" si="2"/>
        <v>0</v>
      </c>
      <c r="P8" s="3">
        <v>0.5</v>
      </c>
      <c r="Q8" s="15">
        <f t="shared" si="3"/>
        <v>15</v>
      </c>
      <c r="R8" s="38">
        <v>5</v>
      </c>
      <c r="S8" s="15">
        <f t="shared" si="4"/>
        <v>2.5</v>
      </c>
      <c r="T8" s="15">
        <f t="shared" si="5"/>
        <v>75</v>
      </c>
      <c r="U8" s="4">
        <f t="shared" si="6"/>
        <v>2.5</v>
      </c>
      <c r="V8" s="3">
        <f t="shared" si="7"/>
        <v>75</v>
      </c>
      <c r="W8" s="19"/>
    </row>
    <row r="9" spans="1:25" ht="28.2" customHeight="1" x14ac:dyDescent="0.3">
      <c r="A9" s="7"/>
      <c r="B9" s="63"/>
      <c r="C9" s="13" t="s">
        <v>149</v>
      </c>
      <c r="D9" s="66"/>
      <c r="E9" s="66"/>
      <c r="F9" s="66"/>
      <c r="G9" s="66"/>
      <c r="H9" s="66"/>
      <c r="I9" s="15">
        <v>60</v>
      </c>
      <c r="J9" s="15">
        <v>30</v>
      </c>
      <c r="K9" s="3">
        <v>0</v>
      </c>
      <c r="L9" s="15">
        <f t="shared" si="0"/>
        <v>0</v>
      </c>
      <c r="M9" s="17">
        <v>0</v>
      </c>
      <c r="N9" s="15">
        <f t="shared" si="1"/>
        <v>0</v>
      </c>
      <c r="O9" s="15">
        <f t="shared" si="2"/>
        <v>0</v>
      </c>
      <c r="P9" s="3">
        <v>0.5</v>
      </c>
      <c r="Q9" s="15">
        <f t="shared" si="3"/>
        <v>15</v>
      </c>
      <c r="R9" s="17">
        <v>1</v>
      </c>
      <c r="S9" s="15">
        <f t="shared" si="4"/>
        <v>0.5</v>
      </c>
      <c r="T9" s="15">
        <f t="shared" si="5"/>
        <v>15</v>
      </c>
      <c r="U9" s="4">
        <f t="shared" si="6"/>
        <v>0.5</v>
      </c>
      <c r="V9" s="3">
        <f t="shared" si="7"/>
        <v>15</v>
      </c>
      <c r="W9" s="19"/>
    </row>
    <row r="10" spans="1:25" ht="28.2" customHeight="1" x14ac:dyDescent="0.3">
      <c r="A10" s="31" t="s">
        <v>140</v>
      </c>
      <c r="B10" s="62" t="s">
        <v>39</v>
      </c>
      <c r="C10" s="13" t="s">
        <v>17</v>
      </c>
      <c r="D10" s="64">
        <v>423</v>
      </c>
      <c r="E10" s="64">
        <v>257</v>
      </c>
      <c r="F10" s="64">
        <v>22</v>
      </c>
      <c r="G10" s="64" t="s">
        <v>566</v>
      </c>
      <c r="H10" s="64">
        <v>2</v>
      </c>
      <c r="I10" s="15">
        <v>60</v>
      </c>
      <c r="J10" s="15">
        <v>30</v>
      </c>
      <c r="K10" s="3">
        <v>0</v>
      </c>
      <c r="L10" s="15">
        <f>K10*30</f>
        <v>0</v>
      </c>
      <c r="M10" s="17">
        <v>0</v>
      </c>
      <c r="N10" s="15">
        <f>K10*M10</f>
        <v>0</v>
      </c>
      <c r="O10" s="15">
        <f>L10*M10</f>
        <v>0</v>
      </c>
      <c r="P10" s="3">
        <v>0.5</v>
      </c>
      <c r="Q10" s="15">
        <f>P10*30</f>
        <v>15</v>
      </c>
      <c r="R10" s="17">
        <v>9</v>
      </c>
      <c r="S10" s="15">
        <f>P10*R10</f>
        <v>4.5</v>
      </c>
      <c r="T10" s="15">
        <f>Q10*R10</f>
        <v>135</v>
      </c>
      <c r="U10" s="4">
        <f t="shared" ref="U10:V12" si="8">N10+S10</f>
        <v>4.5</v>
      </c>
      <c r="V10" s="3">
        <f t="shared" si="8"/>
        <v>135</v>
      </c>
      <c r="W10" s="19"/>
    </row>
    <row r="11" spans="1:25" ht="25.95" customHeight="1" x14ac:dyDescent="0.3">
      <c r="A11" s="31" t="s">
        <v>150</v>
      </c>
      <c r="B11" s="67"/>
      <c r="C11" s="13" t="s">
        <v>18</v>
      </c>
      <c r="D11" s="65"/>
      <c r="E11" s="65"/>
      <c r="F11" s="65"/>
      <c r="G11" s="65"/>
      <c r="H11" s="65"/>
      <c r="I11" s="15">
        <v>60</v>
      </c>
      <c r="J11" s="15">
        <v>30</v>
      </c>
      <c r="K11" s="3">
        <v>0</v>
      </c>
      <c r="L11" s="15">
        <f>K11*30</f>
        <v>0</v>
      </c>
      <c r="M11" s="17">
        <v>0</v>
      </c>
      <c r="N11" s="15">
        <f>K11*M11</f>
        <v>0</v>
      </c>
      <c r="O11" s="15">
        <f>L11*M11</f>
        <v>0</v>
      </c>
      <c r="P11" s="3">
        <v>0.5</v>
      </c>
      <c r="Q11" s="15">
        <f>P11*30</f>
        <v>15</v>
      </c>
      <c r="R11" s="17">
        <v>5</v>
      </c>
      <c r="S11" s="15">
        <f>P11*R11</f>
        <v>2.5</v>
      </c>
      <c r="T11" s="15">
        <f>Q11*R11</f>
        <v>75</v>
      </c>
      <c r="U11" s="4">
        <f t="shared" si="8"/>
        <v>2.5</v>
      </c>
      <c r="V11" s="3">
        <f t="shared" si="8"/>
        <v>75</v>
      </c>
      <c r="W11" s="19"/>
    </row>
    <row r="12" spans="1:25" ht="25.2" customHeight="1" x14ac:dyDescent="0.3">
      <c r="A12" s="7"/>
      <c r="B12" s="63"/>
      <c r="C12" s="13" t="s">
        <v>149</v>
      </c>
      <c r="D12" s="66"/>
      <c r="E12" s="66"/>
      <c r="F12" s="66"/>
      <c r="G12" s="66"/>
      <c r="H12" s="66"/>
      <c r="I12" s="15">
        <v>60</v>
      </c>
      <c r="J12" s="15">
        <v>30</v>
      </c>
      <c r="K12" s="3">
        <v>0</v>
      </c>
      <c r="L12" s="15">
        <f>K12*30</f>
        <v>0</v>
      </c>
      <c r="M12" s="17">
        <v>0</v>
      </c>
      <c r="N12" s="15">
        <f>K12*M12</f>
        <v>0</v>
      </c>
      <c r="O12" s="15">
        <f>L12*M12</f>
        <v>0</v>
      </c>
      <c r="P12" s="3">
        <v>0.5</v>
      </c>
      <c r="Q12" s="15">
        <f>P12*30</f>
        <v>15</v>
      </c>
      <c r="R12" s="17">
        <v>1</v>
      </c>
      <c r="S12" s="15">
        <f>P12*R12</f>
        <v>0.5</v>
      </c>
      <c r="T12" s="15">
        <f>Q12*R12</f>
        <v>15</v>
      </c>
      <c r="U12" s="4">
        <f t="shared" si="8"/>
        <v>0.5</v>
      </c>
      <c r="V12" s="3">
        <f t="shared" si="8"/>
        <v>15</v>
      </c>
      <c r="W12" s="19"/>
    </row>
    <row r="13" spans="1:25" ht="85.8" customHeight="1" x14ac:dyDescent="0.55000000000000004">
      <c r="A13" s="31"/>
      <c r="B13" s="62" t="s">
        <v>43</v>
      </c>
      <c r="C13" s="13" t="s">
        <v>17</v>
      </c>
      <c r="D13" s="64">
        <v>538</v>
      </c>
      <c r="E13" s="64">
        <v>42</v>
      </c>
      <c r="F13" s="64"/>
      <c r="G13" s="64" t="s">
        <v>141</v>
      </c>
      <c r="H13" s="64">
        <v>4</v>
      </c>
      <c r="I13" s="15">
        <v>120</v>
      </c>
      <c r="J13" s="15">
        <v>45</v>
      </c>
      <c r="K13" s="3">
        <v>0.5</v>
      </c>
      <c r="L13" s="15">
        <f t="shared" si="0"/>
        <v>15</v>
      </c>
      <c r="M13" s="17">
        <v>6</v>
      </c>
      <c r="N13" s="15">
        <f t="shared" si="1"/>
        <v>3</v>
      </c>
      <c r="O13" s="15">
        <f t="shared" si="2"/>
        <v>90</v>
      </c>
      <c r="P13" s="3">
        <v>1</v>
      </c>
      <c r="Q13" s="15">
        <f t="shared" si="3"/>
        <v>30</v>
      </c>
      <c r="R13" s="38">
        <v>36</v>
      </c>
      <c r="S13" s="15">
        <f t="shared" si="4"/>
        <v>36</v>
      </c>
      <c r="T13" s="15">
        <f t="shared" si="5"/>
        <v>1080</v>
      </c>
      <c r="U13" s="4">
        <f t="shared" si="6"/>
        <v>39</v>
      </c>
      <c r="V13" s="3">
        <f t="shared" si="7"/>
        <v>1170</v>
      </c>
      <c r="W13" s="52" t="s">
        <v>619</v>
      </c>
      <c r="X13" s="61">
        <v>39</v>
      </c>
      <c r="Y13" s="60"/>
    </row>
    <row r="14" spans="1:25" x14ac:dyDescent="0.3">
      <c r="A14" s="7"/>
      <c r="B14" s="63"/>
      <c r="C14" s="13" t="s">
        <v>18</v>
      </c>
      <c r="D14" s="65"/>
      <c r="E14" s="65"/>
      <c r="F14" s="65"/>
      <c r="G14" s="65"/>
      <c r="H14" s="66"/>
      <c r="I14" s="15">
        <v>120</v>
      </c>
      <c r="J14" s="15">
        <v>45</v>
      </c>
      <c r="K14" s="3">
        <v>0.5</v>
      </c>
      <c r="L14" s="15">
        <f t="shared" si="0"/>
        <v>15</v>
      </c>
      <c r="M14" s="17">
        <v>1</v>
      </c>
      <c r="N14" s="15">
        <f t="shared" si="1"/>
        <v>0.5</v>
      </c>
      <c r="O14" s="15">
        <f t="shared" si="2"/>
        <v>15</v>
      </c>
      <c r="P14" s="3">
        <v>1</v>
      </c>
      <c r="Q14" s="15">
        <f t="shared" si="3"/>
        <v>30</v>
      </c>
      <c r="R14" s="17">
        <v>3</v>
      </c>
      <c r="S14" s="15">
        <f t="shared" si="4"/>
        <v>3</v>
      </c>
      <c r="T14" s="15">
        <f t="shared" si="5"/>
        <v>90</v>
      </c>
      <c r="U14" s="4">
        <f t="shared" si="6"/>
        <v>3.5</v>
      </c>
      <c r="V14" s="3">
        <f t="shared" si="7"/>
        <v>105</v>
      </c>
      <c r="W14" s="19" t="s">
        <v>595</v>
      </c>
      <c r="X14">
        <v>3.5</v>
      </c>
    </row>
    <row r="15" spans="1:25" x14ac:dyDescent="0.3">
      <c r="A15" s="31"/>
      <c r="B15" s="62" t="s">
        <v>42</v>
      </c>
      <c r="C15" s="13" t="s">
        <v>17</v>
      </c>
      <c r="D15" s="65"/>
      <c r="E15" s="65"/>
      <c r="F15" s="65"/>
      <c r="G15" s="65"/>
      <c r="H15" s="64">
        <v>3</v>
      </c>
      <c r="I15" s="15">
        <v>90</v>
      </c>
      <c r="J15" s="15">
        <v>30</v>
      </c>
      <c r="K15" s="3">
        <v>0.5</v>
      </c>
      <c r="L15" s="15">
        <f t="shared" si="0"/>
        <v>15</v>
      </c>
      <c r="M15" s="17">
        <v>6</v>
      </c>
      <c r="N15" s="15">
        <f t="shared" si="1"/>
        <v>3</v>
      </c>
      <c r="O15" s="15">
        <f t="shared" si="2"/>
        <v>90</v>
      </c>
      <c r="P15" s="3">
        <v>0.5</v>
      </c>
      <c r="Q15" s="15">
        <f t="shared" si="3"/>
        <v>15</v>
      </c>
      <c r="R15" s="17">
        <v>18</v>
      </c>
      <c r="S15" s="15">
        <f t="shared" si="4"/>
        <v>9</v>
      </c>
      <c r="T15" s="15">
        <f t="shared" si="5"/>
        <v>270</v>
      </c>
      <c r="U15" s="4">
        <f t="shared" si="6"/>
        <v>12</v>
      </c>
      <c r="V15" s="3">
        <f t="shared" si="7"/>
        <v>360</v>
      </c>
      <c r="W15" s="19"/>
    </row>
    <row r="16" spans="1:25" x14ac:dyDescent="0.3">
      <c r="A16" s="7"/>
      <c r="B16" s="63"/>
      <c r="C16" s="13" t="s">
        <v>18</v>
      </c>
      <c r="D16" s="65"/>
      <c r="E16" s="65"/>
      <c r="F16" s="65"/>
      <c r="G16" s="65"/>
      <c r="H16" s="66"/>
      <c r="I16" s="15">
        <v>90</v>
      </c>
      <c r="J16" s="15">
        <v>30</v>
      </c>
      <c r="K16" s="3">
        <v>0.5</v>
      </c>
      <c r="L16" s="15">
        <f t="shared" si="0"/>
        <v>15</v>
      </c>
      <c r="M16" s="17">
        <v>1</v>
      </c>
      <c r="N16" s="15">
        <f t="shared" si="1"/>
        <v>0.5</v>
      </c>
      <c r="O16" s="15">
        <f t="shared" si="2"/>
        <v>15</v>
      </c>
      <c r="P16" s="3">
        <v>0.5</v>
      </c>
      <c r="Q16" s="15">
        <f t="shared" si="3"/>
        <v>15</v>
      </c>
      <c r="R16" s="17">
        <v>2</v>
      </c>
      <c r="S16" s="15">
        <f t="shared" si="4"/>
        <v>1</v>
      </c>
      <c r="T16" s="15">
        <f t="shared" si="5"/>
        <v>30</v>
      </c>
      <c r="U16" s="4">
        <f t="shared" si="6"/>
        <v>1.5</v>
      </c>
      <c r="V16" s="3">
        <f t="shared" si="7"/>
        <v>45</v>
      </c>
      <c r="W16" s="19"/>
    </row>
    <row r="17" spans="1:25" x14ac:dyDescent="0.3">
      <c r="A17" s="7"/>
      <c r="B17" s="62" t="s">
        <v>41</v>
      </c>
      <c r="C17" s="13" t="s">
        <v>17</v>
      </c>
      <c r="D17" s="65"/>
      <c r="E17" s="65"/>
      <c r="F17" s="65"/>
      <c r="G17" s="65"/>
      <c r="H17" s="64">
        <v>4</v>
      </c>
      <c r="I17" s="15">
        <v>120</v>
      </c>
      <c r="J17" s="15">
        <v>45</v>
      </c>
      <c r="K17" s="3">
        <v>0.5</v>
      </c>
      <c r="L17" s="15">
        <f t="shared" si="0"/>
        <v>15</v>
      </c>
      <c r="M17" s="17">
        <v>6</v>
      </c>
      <c r="N17" s="15">
        <f t="shared" si="1"/>
        <v>3</v>
      </c>
      <c r="O17" s="15">
        <f t="shared" si="2"/>
        <v>90</v>
      </c>
      <c r="P17" s="3">
        <v>1</v>
      </c>
      <c r="Q17" s="15">
        <f t="shared" si="3"/>
        <v>30</v>
      </c>
      <c r="R17" s="17">
        <v>18</v>
      </c>
      <c r="S17" s="15">
        <f t="shared" si="4"/>
        <v>18</v>
      </c>
      <c r="T17" s="15">
        <f t="shared" si="5"/>
        <v>540</v>
      </c>
      <c r="U17" s="4">
        <f t="shared" si="6"/>
        <v>21</v>
      </c>
      <c r="V17" s="3">
        <f t="shared" si="7"/>
        <v>630</v>
      </c>
      <c r="W17" s="19"/>
    </row>
    <row r="18" spans="1:25" x14ac:dyDescent="0.3">
      <c r="A18" s="7"/>
      <c r="B18" s="63"/>
      <c r="C18" s="13" t="s">
        <v>18</v>
      </c>
      <c r="D18" s="66"/>
      <c r="E18" s="66"/>
      <c r="F18" s="66"/>
      <c r="G18" s="66"/>
      <c r="H18" s="66"/>
      <c r="I18" s="15">
        <v>120</v>
      </c>
      <c r="J18" s="15">
        <v>45</v>
      </c>
      <c r="K18" s="3">
        <v>0.5</v>
      </c>
      <c r="L18" s="15">
        <f t="shared" si="0"/>
        <v>15</v>
      </c>
      <c r="M18" s="17">
        <v>1</v>
      </c>
      <c r="N18" s="15">
        <f t="shared" si="1"/>
        <v>0.5</v>
      </c>
      <c r="O18" s="15">
        <f t="shared" si="2"/>
        <v>15</v>
      </c>
      <c r="P18" s="3">
        <v>1</v>
      </c>
      <c r="Q18" s="15">
        <f t="shared" si="3"/>
        <v>30</v>
      </c>
      <c r="R18" s="17">
        <v>2</v>
      </c>
      <c r="S18" s="15">
        <f t="shared" si="4"/>
        <v>2</v>
      </c>
      <c r="T18" s="15">
        <f t="shared" si="5"/>
        <v>60</v>
      </c>
      <c r="U18" s="4">
        <f t="shared" si="6"/>
        <v>2.5</v>
      </c>
      <c r="V18" s="3">
        <f t="shared" si="7"/>
        <v>75</v>
      </c>
      <c r="W18" s="19"/>
    </row>
    <row r="19" spans="1:25" ht="54" x14ac:dyDescent="0.55000000000000004">
      <c r="A19" s="7"/>
      <c r="B19" s="62" t="s">
        <v>43</v>
      </c>
      <c r="C19" s="13" t="s">
        <v>17</v>
      </c>
      <c r="D19" s="64">
        <v>78</v>
      </c>
      <c r="E19" s="64">
        <v>12</v>
      </c>
      <c r="F19" s="64"/>
      <c r="G19" s="64" t="s">
        <v>142</v>
      </c>
      <c r="H19" s="64">
        <v>4</v>
      </c>
      <c r="I19" s="15">
        <v>120</v>
      </c>
      <c r="J19" s="15">
        <v>45</v>
      </c>
      <c r="K19" s="3">
        <v>0.5</v>
      </c>
      <c r="L19" s="15">
        <f t="shared" si="0"/>
        <v>15</v>
      </c>
      <c r="M19" s="17">
        <v>1</v>
      </c>
      <c r="N19" s="15">
        <f t="shared" si="1"/>
        <v>0.5</v>
      </c>
      <c r="O19" s="15">
        <f t="shared" si="2"/>
        <v>15</v>
      </c>
      <c r="P19" s="3">
        <v>1</v>
      </c>
      <c r="Q19" s="15">
        <f t="shared" si="3"/>
        <v>30</v>
      </c>
      <c r="R19" s="38">
        <v>5</v>
      </c>
      <c r="S19" s="15">
        <f t="shared" si="4"/>
        <v>5</v>
      </c>
      <c r="T19" s="15">
        <f t="shared" si="5"/>
        <v>150</v>
      </c>
      <c r="U19" s="4">
        <f t="shared" si="6"/>
        <v>5.5</v>
      </c>
      <c r="V19" s="3">
        <f t="shared" si="7"/>
        <v>165</v>
      </c>
      <c r="W19" s="52" t="s">
        <v>612</v>
      </c>
      <c r="X19">
        <v>5.5</v>
      </c>
      <c r="Y19" s="60"/>
    </row>
    <row r="20" spans="1:25" x14ac:dyDescent="0.3">
      <c r="A20" s="7"/>
      <c r="B20" s="63"/>
      <c r="C20" s="13" t="s">
        <v>18</v>
      </c>
      <c r="D20" s="65"/>
      <c r="E20" s="65"/>
      <c r="F20" s="65"/>
      <c r="G20" s="65"/>
      <c r="H20" s="66"/>
      <c r="I20" s="15">
        <v>120</v>
      </c>
      <c r="J20" s="15">
        <v>45</v>
      </c>
      <c r="K20" s="3">
        <v>0.5</v>
      </c>
      <c r="L20" s="15">
        <f t="shared" si="0"/>
        <v>15</v>
      </c>
      <c r="M20" s="17">
        <v>1</v>
      </c>
      <c r="N20" s="15">
        <f t="shared" si="1"/>
        <v>0.5</v>
      </c>
      <c r="O20" s="15">
        <f t="shared" si="2"/>
        <v>15</v>
      </c>
      <c r="P20" s="3">
        <v>1</v>
      </c>
      <c r="Q20" s="15">
        <f t="shared" si="3"/>
        <v>30</v>
      </c>
      <c r="R20" s="38">
        <v>1</v>
      </c>
      <c r="S20" s="15">
        <f t="shared" si="4"/>
        <v>1</v>
      </c>
      <c r="T20" s="15">
        <f t="shared" si="5"/>
        <v>30</v>
      </c>
      <c r="U20" s="4">
        <f t="shared" si="6"/>
        <v>1.5</v>
      </c>
      <c r="V20" s="3">
        <f t="shared" si="7"/>
        <v>45</v>
      </c>
      <c r="W20" s="19" t="s">
        <v>614</v>
      </c>
      <c r="X20">
        <v>1.5</v>
      </c>
    </row>
    <row r="21" spans="1:25" x14ac:dyDescent="0.3">
      <c r="A21" s="7"/>
      <c r="B21" s="62" t="s">
        <v>42</v>
      </c>
      <c r="C21" s="13" t="s">
        <v>17</v>
      </c>
      <c r="D21" s="65"/>
      <c r="E21" s="65"/>
      <c r="F21" s="65"/>
      <c r="G21" s="65"/>
      <c r="H21" s="64">
        <v>3</v>
      </c>
      <c r="I21" s="15">
        <v>90</v>
      </c>
      <c r="J21" s="15">
        <v>30</v>
      </c>
      <c r="K21" s="3">
        <v>0.5</v>
      </c>
      <c r="L21" s="15">
        <f t="shared" si="0"/>
        <v>15</v>
      </c>
      <c r="M21" s="17">
        <v>1</v>
      </c>
      <c r="N21" s="15">
        <f t="shared" si="1"/>
        <v>0.5</v>
      </c>
      <c r="O21" s="15">
        <f t="shared" si="2"/>
        <v>15</v>
      </c>
      <c r="P21" s="3">
        <v>0.5</v>
      </c>
      <c r="Q21" s="15">
        <f t="shared" si="3"/>
        <v>15</v>
      </c>
      <c r="R21" s="17">
        <v>3</v>
      </c>
      <c r="S21" s="15">
        <f t="shared" si="4"/>
        <v>1.5</v>
      </c>
      <c r="T21" s="15">
        <f t="shared" si="5"/>
        <v>45</v>
      </c>
      <c r="U21" s="4">
        <f t="shared" si="6"/>
        <v>2</v>
      </c>
      <c r="V21" s="3">
        <f t="shared" si="7"/>
        <v>60</v>
      </c>
      <c r="W21" s="19"/>
    </row>
    <row r="22" spans="1:25" ht="24" customHeight="1" x14ac:dyDescent="0.3">
      <c r="A22" s="7"/>
      <c r="B22" s="63"/>
      <c r="C22" s="13" t="s">
        <v>18</v>
      </c>
      <c r="D22" s="65"/>
      <c r="E22" s="65"/>
      <c r="F22" s="65"/>
      <c r="G22" s="65"/>
      <c r="H22" s="66"/>
      <c r="I22" s="15">
        <v>90</v>
      </c>
      <c r="J22" s="15">
        <v>30</v>
      </c>
      <c r="K22" s="3">
        <v>0.5</v>
      </c>
      <c r="L22" s="15">
        <f t="shared" si="0"/>
        <v>15</v>
      </c>
      <c r="M22" s="17">
        <v>1</v>
      </c>
      <c r="N22" s="15">
        <f t="shared" si="1"/>
        <v>0.5</v>
      </c>
      <c r="O22" s="15">
        <f t="shared" si="2"/>
        <v>15</v>
      </c>
      <c r="P22" s="3">
        <v>0.5</v>
      </c>
      <c r="Q22" s="15">
        <f t="shared" si="3"/>
        <v>15</v>
      </c>
      <c r="R22" s="17">
        <v>1</v>
      </c>
      <c r="S22" s="15">
        <f t="shared" si="4"/>
        <v>0.5</v>
      </c>
      <c r="T22" s="15">
        <f t="shared" si="5"/>
        <v>15</v>
      </c>
      <c r="U22" s="4">
        <f t="shared" si="6"/>
        <v>1</v>
      </c>
      <c r="V22" s="3">
        <f t="shared" si="7"/>
        <v>30</v>
      </c>
      <c r="W22" s="19"/>
    </row>
    <row r="23" spans="1:25" x14ac:dyDescent="0.3">
      <c r="A23" s="7"/>
      <c r="B23" s="62" t="s">
        <v>41</v>
      </c>
      <c r="C23" s="13" t="s">
        <v>17</v>
      </c>
      <c r="D23" s="65"/>
      <c r="E23" s="65"/>
      <c r="F23" s="65"/>
      <c r="G23" s="65"/>
      <c r="H23" s="64">
        <v>4</v>
      </c>
      <c r="I23" s="15">
        <v>120</v>
      </c>
      <c r="J23" s="15">
        <v>45</v>
      </c>
      <c r="K23" s="3">
        <v>0.5</v>
      </c>
      <c r="L23" s="15">
        <f t="shared" si="0"/>
        <v>15</v>
      </c>
      <c r="M23" s="17">
        <v>1</v>
      </c>
      <c r="N23" s="15">
        <f t="shared" si="1"/>
        <v>0.5</v>
      </c>
      <c r="O23" s="15">
        <f t="shared" si="2"/>
        <v>15</v>
      </c>
      <c r="P23" s="3">
        <v>1</v>
      </c>
      <c r="Q23" s="15">
        <f t="shared" si="3"/>
        <v>30</v>
      </c>
      <c r="R23" s="17">
        <v>3</v>
      </c>
      <c r="S23" s="15">
        <f t="shared" si="4"/>
        <v>3</v>
      </c>
      <c r="T23" s="15">
        <f t="shared" si="5"/>
        <v>90</v>
      </c>
      <c r="U23" s="4">
        <f t="shared" si="6"/>
        <v>3.5</v>
      </c>
      <c r="V23" s="3">
        <f t="shared" si="7"/>
        <v>105</v>
      </c>
      <c r="W23" s="19"/>
    </row>
    <row r="24" spans="1:25" x14ac:dyDescent="0.3">
      <c r="A24" s="7"/>
      <c r="B24" s="63"/>
      <c r="C24" s="13" t="s">
        <v>18</v>
      </c>
      <c r="D24" s="66"/>
      <c r="E24" s="66"/>
      <c r="F24" s="66"/>
      <c r="G24" s="66"/>
      <c r="H24" s="66"/>
      <c r="I24" s="15">
        <v>120</v>
      </c>
      <c r="J24" s="15">
        <v>45</v>
      </c>
      <c r="K24" s="3">
        <v>0.5</v>
      </c>
      <c r="L24" s="15">
        <f t="shared" si="0"/>
        <v>15</v>
      </c>
      <c r="M24" s="17">
        <v>1</v>
      </c>
      <c r="N24" s="15">
        <f t="shared" si="1"/>
        <v>0.5</v>
      </c>
      <c r="O24" s="15">
        <f t="shared" si="2"/>
        <v>15</v>
      </c>
      <c r="P24" s="3">
        <v>1</v>
      </c>
      <c r="Q24" s="15">
        <f t="shared" si="3"/>
        <v>30</v>
      </c>
      <c r="R24" s="38">
        <v>1</v>
      </c>
      <c r="S24" s="15">
        <f t="shared" si="4"/>
        <v>1</v>
      </c>
      <c r="T24" s="15">
        <f t="shared" si="5"/>
        <v>30</v>
      </c>
      <c r="U24" s="4">
        <f t="shared" si="6"/>
        <v>1.5</v>
      </c>
      <c r="V24" s="3">
        <f t="shared" si="7"/>
        <v>45</v>
      </c>
      <c r="W24" s="19"/>
    </row>
    <row r="25" spans="1:25" ht="22.5" customHeight="1" x14ac:dyDescent="0.35">
      <c r="A25" s="8" t="s">
        <v>151</v>
      </c>
      <c r="B25" s="68" t="s">
        <v>39</v>
      </c>
      <c r="C25" s="13" t="s">
        <v>17</v>
      </c>
      <c r="D25" s="64">
        <v>97</v>
      </c>
      <c r="E25" s="64">
        <v>116</v>
      </c>
      <c r="F25" s="64">
        <v>47</v>
      </c>
      <c r="G25" s="64" t="s">
        <v>143</v>
      </c>
      <c r="H25" s="87">
        <v>2</v>
      </c>
      <c r="I25" s="15">
        <v>60</v>
      </c>
      <c r="J25" s="15">
        <v>30</v>
      </c>
      <c r="K25" s="3">
        <v>0</v>
      </c>
      <c r="L25" s="15">
        <f t="shared" si="0"/>
        <v>0</v>
      </c>
      <c r="M25" s="17">
        <v>0</v>
      </c>
      <c r="N25" s="15">
        <f t="shared" si="1"/>
        <v>0</v>
      </c>
      <c r="O25" s="15">
        <f t="shared" si="2"/>
        <v>0</v>
      </c>
      <c r="P25" s="3">
        <v>0.5</v>
      </c>
      <c r="Q25" s="15">
        <f t="shared" si="3"/>
        <v>15</v>
      </c>
      <c r="R25" s="39">
        <v>4</v>
      </c>
      <c r="S25" s="15">
        <f t="shared" si="4"/>
        <v>2</v>
      </c>
      <c r="T25" s="15">
        <f t="shared" si="5"/>
        <v>60</v>
      </c>
      <c r="U25" s="4">
        <f t="shared" si="6"/>
        <v>2</v>
      </c>
      <c r="V25" s="3">
        <f t="shared" si="7"/>
        <v>60</v>
      </c>
      <c r="W25" s="10"/>
      <c r="Y25">
        <v>4</v>
      </c>
    </row>
    <row r="26" spans="1:25" x14ac:dyDescent="0.35">
      <c r="A26" s="8"/>
      <c r="B26" s="93"/>
      <c r="C26" s="13" t="s">
        <v>18</v>
      </c>
      <c r="D26" s="65"/>
      <c r="E26" s="65"/>
      <c r="F26" s="65"/>
      <c r="G26" s="65"/>
      <c r="H26" s="94"/>
      <c r="I26" s="15">
        <v>60</v>
      </c>
      <c r="J26" s="15">
        <v>30</v>
      </c>
      <c r="K26" s="3">
        <v>0</v>
      </c>
      <c r="L26" s="15">
        <f t="shared" si="0"/>
        <v>0</v>
      </c>
      <c r="M26" s="17">
        <v>0</v>
      </c>
      <c r="N26" s="15">
        <f t="shared" si="1"/>
        <v>0</v>
      </c>
      <c r="O26" s="15">
        <f t="shared" si="2"/>
        <v>0</v>
      </c>
      <c r="P26" s="3">
        <v>0.5</v>
      </c>
      <c r="Q26" s="15">
        <f t="shared" si="3"/>
        <v>15</v>
      </c>
      <c r="R26" s="39">
        <v>5</v>
      </c>
      <c r="S26" s="15">
        <f t="shared" si="4"/>
        <v>2.5</v>
      </c>
      <c r="T26" s="15">
        <f t="shared" si="5"/>
        <v>75</v>
      </c>
      <c r="U26" s="4">
        <f t="shared" si="6"/>
        <v>2.5</v>
      </c>
      <c r="V26" s="3">
        <f t="shared" si="7"/>
        <v>75</v>
      </c>
      <c r="W26" s="10"/>
    </row>
    <row r="27" spans="1:25" x14ac:dyDescent="0.35">
      <c r="A27" s="8"/>
      <c r="B27" s="69"/>
      <c r="C27" s="13" t="s">
        <v>149</v>
      </c>
      <c r="D27" s="66"/>
      <c r="E27" s="66"/>
      <c r="F27" s="66"/>
      <c r="G27" s="66"/>
      <c r="H27" s="88"/>
      <c r="I27" s="15">
        <v>60</v>
      </c>
      <c r="J27" s="15">
        <v>30</v>
      </c>
      <c r="K27" s="3">
        <v>0</v>
      </c>
      <c r="L27" s="15">
        <f t="shared" si="0"/>
        <v>0</v>
      </c>
      <c r="M27" s="17">
        <v>0</v>
      </c>
      <c r="N27" s="15">
        <f t="shared" si="1"/>
        <v>0</v>
      </c>
      <c r="O27" s="15">
        <f t="shared" si="2"/>
        <v>0</v>
      </c>
      <c r="P27" s="3">
        <v>0.5</v>
      </c>
      <c r="Q27" s="15">
        <f t="shared" si="3"/>
        <v>15</v>
      </c>
      <c r="R27" s="39">
        <v>2</v>
      </c>
      <c r="S27" s="15">
        <f t="shared" si="4"/>
        <v>1</v>
      </c>
      <c r="T27" s="15">
        <f t="shared" si="5"/>
        <v>30</v>
      </c>
      <c r="U27" s="4">
        <f t="shared" si="6"/>
        <v>1</v>
      </c>
      <c r="V27" s="3">
        <f t="shared" si="7"/>
        <v>30</v>
      </c>
      <c r="W27" s="20"/>
    </row>
    <row r="28" spans="1:25" ht="18" customHeight="1" x14ac:dyDescent="0.3">
      <c r="A28" s="7"/>
      <c r="B28" s="62" t="s">
        <v>40</v>
      </c>
      <c r="C28" s="13" t="s">
        <v>17</v>
      </c>
      <c r="D28" s="64">
        <v>30</v>
      </c>
      <c r="E28" s="64">
        <v>12</v>
      </c>
      <c r="F28" s="64"/>
      <c r="G28" s="64" t="s">
        <v>20</v>
      </c>
      <c r="H28" s="64">
        <v>4</v>
      </c>
      <c r="I28" s="15">
        <v>120</v>
      </c>
      <c r="J28" s="15">
        <v>45</v>
      </c>
      <c r="K28" s="3">
        <v>0.5</v>
      </c>
      <c r="L28" s="15">
        <f t="shared" ref="L28:L75" si="9">K28*30</f>
        <v>15</v>
      </c>
      <c r="M28" s="17">
        <v>1</v>
      </c>
      <c r="N28" s="15">
        <f t="shared" ref="N28:N75" si="10">K28*M28</f>
        <v>0.5</v>
      </c>
      <c r="O28" s="15">
        <f t="shared" ref="O28:O75" si="11">L28*M28</f>
        <v>15</v>
      </c>
      <c r="P28" s="3">
        <v>1</v>
      </c>
      <c r="Q28" s="15">
        <f t="shared" ref="Q28:Q75" si="12">P28*30</f>
        <v>30</v>
      </c>
      <c r="R28" s="9">
        <v>1</v>
      </c>
      <c r="S28" s="15">
        <f t="shared" ref="S28:S75" si="13">P28*R28</f>
        <v>1</v>
      </c>
      <c r="T28" s="15">
        <f t="shared" ref="T28:T75" si="14">Q28*R28</f>
        <v>30</v>
      </c>
      <c r="U28" s="4">
        <f t="shared" ref="U28:U75" si="15">N28+S28</f>
        <v>1.5</v>
      </c>
      <c r="V28" s="3">
        <f t="shared" ref="V28:V75" si="16">O28+T28</f>
        <v>45</v>
      </c>
      <c r="W28" s="19"/>
    </row>
    <row r="29" spans="1:25" ht="18" customHeight="1" x14ac:dyDescent="0.3">
      <c r="A29" s="7"/>
      <c r="B29" s="63"/>
      <c r="C29" s="13" t="s">
        <v>18</v>
      </c>
      <c r="D29" s="65"/>
      <c r="E29" s="65"/>
      <c r="F29" s="65"/>
      <c r="G29" s="65"/>
      <c r="H29" s="66"/>
      <c r="I29" s="15">
        <v>120</v>
      </c>
      <c r="J29" s="15">
        <v>45</v>
      </c>
      <c r="K29" s="3">
        <v>0.5</v>
      </c>
      <c r="L29" s="15">
        <f t="shared" si="9"/>
        <v>15</v>
      </c>
      <c r="M29" s="17">
        <v>1</v>
      </c>
      <c r="N29" s="15">
        <f t="shared" si="10"/>
        <v>0.5</v>
      </c>
      <c r="O29" s="15">
        <f t="shared" si="11"/>
        <v>15</v>
      </c>
      <c r="P29" s="3">
        <v>1</v>
      </c>
      <c r="Q29" s="15">
        <f t="shared" si="12"/>
        <v>30</v>
      </c>
      <c r="R29" s="9">
        <v>1</v>
      </c>
      <c r="S29" s="15">
        <f t="shared" si="13"/>
        <v>1</v>
      </c>
      <c r="T29" s="15">
        <f t="shared" si="14"/>
        <v>30</v>
      </c>
      <c r="U29" s="4">
        <f t="shared" si="15"/>
        <v>1.5</v>
      </c>
      <c r="V29" s="3">
        <f t="shared" si="16"/>
        <v>45</v>
      </c>
      <c r="W29" s="19"/>
    </row>
    <row r="30" spans="1:25" ht="18" customHeight="1" x14ac:dyDescent="0.3">
      <c r="A30" s="7"/>
      <c r="B30" s="62" t="s">
        <v>32</v>
      </c>
      <c r="C30" s="13" t="s">
        <v>17</v>
      </c>
      <c r="D30" s="65"/>
      <c r="E30" s="65"/>
      <c r="F30" s="65"/>
      <c r="G30" s="65"/>
      <c r="H30" s="64">
        <v>4</v>
      </c>
      <c r="I30" s="15">
        <v>120</v>
      </c>
      <c r="J30" s="15">
        <v>45</v>
      </c>
      <c r="K30" s="3">
        <v>0.5</v>
      </c>
      <c r="L30" s="15">
        <f t="shared" si="9"/>
        <v>15</v>
      </c>
      <c r="M30" s="17">
        <v>1</v>
      </c>
      <c r="N30" s="15">
        <f t="shared" si="10"/>
        <v>0.5</v>
      </c>
      <c r="O30" s="15">
        <f t="shared" si="11"/>
        <v>15</v>
      </c>
      <c r="P30" s="3">
        <v>1</v>
      </c>
      <c r="Q30" s="15">
        <f t="shared" si="12"/>
        <v>30</v>
      </c>
      <c r="R30" s="9">
        <v>1</v>
      </c>
      <c r="S30" s="15">
        <f t="shared" si="13"/>
        <v>1</v>
      </c>
      <c r="T30" s="15">
        <f t="shared" si="14"/>
        <v>30</v>
      </c>
      <c r="U30" s="4">
        <f t="shared" si="15"/>
        <v>1.5</v>
      </c>
      <c r="V30" s="3">
        <f t="shared" si="16"/>
        <v>45</v>
      </c>
      <c r="W30" s="19"/>
    </row>
    <row r="31" spans="1:25" ht="18" customHeight="1" x14ac:dyDescent="0.3">
      <c r="A31" s="7"/>
      <c r="B31" s="63"/>
      <c r="C31" s="13" t="s">
        <v>18</v>
      </c>
      <c r="D31" s="66"/>
      <c r="E31" s="66"/>
      <c r="F31" s="66"/>
      <c r="G31" s="66"/>
      <c r="H31" s="66"/>
      <c r="I31" s="15">
        <v>120</v>
      </c>
      <c r="J31" s="15">
        <v>45</v>
      </c>
      <c r="K31" s="3">
        <v>0.5</v>
      </c>
      <c r="L31" s="15">
        <f t="shared" si="9"/>
        <v>15</v>
      </c>
      <c r="M31" s="17">
        <v>1</v>
      </c>
      <c r="N31" s="15">
        <f t="shared" si="10"/>
        <v>0.5</v>
      </c>
      <c r="O31" s="15">
        <f t="shared" si="11"/>
        <v>15</v>
      </c>
      <c r="P31" s="3">
        <v>1</v>
      </c>
      <c r="Q31" s="15">
        <f t="shared" si="12"/>
        <v>30</v>
      </c>
      <c r="R31" s="9">
        <v>1</v>
      </c>
      <c r="S31" s="15">
        <f t="shared" si="13"/>
        <v>1</v>
      </c>
      <c r="T31" s="15">
        <f t="shared" si="14"/>
        <v>30</v>
      </c>
      <c r="U31" s="4">
        <f t="shared" si="15"/>
        <v>1.5</v>
      </c>
      <c r="V31" s="3">
        <f t="shared" si="16"/>
        <v>45</v>
      </c>
      <c r="W31" s="19"/>
    </row>
    <row r="32" spans="1:25" ht="28.95" customHeight="1" x14ac:dyDescent="0.3">
      <c r="B32" s="91" t="s">
        <v>84</v>
      </c>
      <c r="C32" s="13" t="s">
        <v>17</v>
      </c>
      <c r="D32" s="64">
        <f>41+90</f>
        <v>131</v>
      </c>
      <c r="E32" s="64">
        <v>8</v>
      </c>
      <c r="F32" s="64"/>
      <c r="G32" s="64" t="s">
        <v>562</v>
      </c>
      <c r="H32" s="64">
        <v>4</v>
      </c>
      <c r="I32" s="15">
        <v>120</v>
      </c>
      <c r="J32" s="15">
        <v>45</v>
      </c>
      <c r="K32" s="3">
        <v>0.5</v>
      </c>
      <c r="L32" s="15">
        <f t="shared" si="9"/>
        <v>15</v>
      </c>
      <c r="M32" s="17">
        <v>2</v>
      </c>
      <c r="N32" s="15">
        <f t="shared" si="10"/>
        <v>1</v>
      </c>
      <c r="O32" s="15">
        <f t="shared" si="11"/>
        <v>30</v>
      </c>
      <c r="P32" s="3">
        <v>1</v>
      </c>
      <c r="Q32" s="15">
        <f t="shared" si="12"/>
        <v>30</v>
      </c>
      <c r="R32" s="38">
        <v>5</v>
      </c>
      <c r="S32" s="15">
        <f t="shared" si="13"/>
        <v>5</v>
      </c>
      <c r="T32" s="15">
        <f t="shared" si="14"/>
        <v>150</v>
      </c>
      <c r="U32" s="4">
        <f t="shared" si="15"/>
        <v>6</v>
      </c>
      <c r="V32" s="3">
        <f t="shared" si="16"/>
        <v>180</v>
      </c>
      <c r="W32" s="19"/>
    </row>
    <row r="33" spans="1:23" ht="26.55" customHeight="1" x14ac:dyDescent="0.3">
      <c r="B33" s="92"/>
      <c r="C33" s="13" t="s">
        <v>18</v>
      </c>
      <c r="D33" s="66"/>
      <c r="E33" s="66"/>
      <c r="F33" s="66"/>
      <c r="G33" s="66"/>
      <c r="H33" s="66"/>
      <c r="I33" s="15">
        <v>120</v>
      </c>
      <c r="J33" s="15">
        <v>45</v>
      </c>
      <c r="K33" s="3">
        <v>0.5</v>
      </c>
      <c r="L33" s="15">
        <f t="shared" si="9"/>
        <v>15</v>
      </c>
      <c r="M33" s="17">
        <v>1</v>
      </c>
      <c r="N33" s="15">
        <f t="shared" si="10"/>
        <v>0.5</v>
      </c>
      <c r="O33" s="15">
        <f t="shared" si="11"/>
        <v>15</v>
      </c>
      <c r="P33" s="3">
        <v>1</v>
      </c>
      <c r="Q33" s="15">
        <f t="shared" si="12"/>
        <v>30</v>
      </c>
      <c r="R33" s="38">
        <v>1</v>
      </c>
      <c r="S33" s="15">
        <f t="shared" si="13"/>
        <v>1</v>
      </c>
      <c r="T33" s="15">
        <f t="shared" si="14"/>
        <v>30</v>
      </c>
      <c r="U33" s="4">
        <f t="shared" si="15"/>
        <v>1.5</v>
      </c>
      <c r="V33" s="3">
        <f t="shared" si="16"/>
        <v>45</v>
      </c>
      <c r="W33" s="19"/>
    </row>
    <row r="34" spans="1:23" ht="18" customHeight="1" x14ac:dyDescent="0.3">
      <c r="A34" s="7"/>
      <c r="B34" s="62" t="s">
        <v>77</v>
      </c>
      <c r="C34" s="13" t="s">
        <v>17</v>
      </c>
      <c r="D34" s="64">
        <v>86</v>
      </c>
      <c r="E34" s="64">
        <v>77</v>
      </c>
      <c r="F34" s="64"/>
      <c r="G34" s="64" t="s">
        <v>567</v>
      </c>
      <c r="H34" s="64">
        <v>3</v>
      </c>
      <c r="I34" s="15">
        <v>90</v>
      </c>
      <c r="J34" s="15">
        <v>30</v>
      </c>
      <c r="K34" s="3">
        <v>0.5</v>
      </c>
      <c r="L34" s="15">
        <f t="shared" si="9"/>
        <v>15</v>
      </c>
      <c r="M34" s="17">
        <v>1</v>
      </c>
      <c r="N34" s="15">
        <f t="shared" si="10"/>
        <v>0.5</v>
      </c>
      <c r="O34" s="15">
        <f t="shared" si="11"/>
        <v>15</v>
      </c>
      <c r="P34" s="3">
        <v>0.5</v>
      </c>
      <c r="Q34" s="15">
        <f t="shared" si="12"/>
        <v>15</v>
      </c>
      <c r="R34" s="17">
        <v>3</v>
      </c>
      <c r="S34" s="15">
        <f t="shared" si="13"/>
        <v>1.5</v>
      </c>
      <c r="T34" s="15">
        <f t="shared" si="14"/>
        <v>45</v>
      </c>
      <c r="U34" s="4">
        <f t="shared" si="15"/>
        <v>2</v>
      </c>
      <c r="V34" s="3">
        <f t="shared" si="16"/>
        <v>60</v>
      </c>
      <c r="W34" s="19"/>
    </row>
    <row r="35" spans="1:23" ht="18" customHeight="1" x14ac:dyDescent="0.3">
      <c r="A35" s="7"/>
      <c r="B35" s="63"/>
      <c r="C35" s="13" t="s">
        <v>18</v>
      </c>
      <c r="D35" s="66"/>
      <c r="E35" s="66"/>
      <c r="F35" s="66"/>
      <c r="G35" s="66"/>
      <c r="H35" s="66"/>
      <c r="I35" s="15">
        <v>90</v>
      </c>
      <c r="J35" s="15">
        <v>30</v>
      </c>
      <c r="K35" s="3">
        <v>0.5</v>
      </c>
      <c r="L35" s="15">
        <f t="shared" si="9"/>
        <v>15</v>
      </c>
      <c r="M35" s="17">
        <v>1</v>
      </c>
      <c r="N35" s="15">
        <f t="shared" si="10"/>
        <v>0.5</v>
      </c>
      <c r="O35" s="15">
        <f t="shared" si="11"/>
        <v>15</v>
      </c>
      <c r="P35" s="3">
        <v>0.5</v>
      </c>
      <c r="Q35" s="15">
        <f t="shared" si="12"/>
        <v>15</v>
      </c>
      <c r="R35" s="17">
        <v>3</v>
      </c>
      <c r="S35" s="15">
        <f t="shared" si="13"/>
        <v>1.5</v>
      </c>
      <c r="T35" s="15">
        <f t="shared" si="14"/>
        <v>45</v>
      </c>
      <c r="U35" s="4">
        <f t="shared" si="15"/>
        <v>2</v>
      </c>
      <c r="V35" s="3">
        <f t="shared" si="16"/>
        <v>60</v>
      </c>
      <c r="W35" s="19"/>
    </row>
    <row r="36" spans="1:23" ht="18" customHeight="1" x14ac:dyDescent="0.3">
      <c r="B36" s="62" t="s">
        <v>83</v>
      </c>
      <c r="C36" s="13" t="s">
        <v>17</v>
      </c>
      <c r="D36" s="64">
        <v>135</v>
      </c>
      <c r="E36" s="64">
        <v>9</v>
      </c>
      <c r="F36" s="64"/>
      <c r="G36" s="64" t="s">
        <v>568</v>
      </c>
      <c r="H36" s="64">
        <v>4</v>
      </c>
      <c r="I36" s="15">
        <v>120</v>
      </c>
      <c r="J36" s="15">
        <v>45</v>
      </c>
      <c r="K36" s="3">
        <v>0.5</v>
      </c>
      <c r="L36" s="15">
        <f>K36*30</f>
        <v>15</v>
      </c>
      <c r="M36" s="17">
        <v>2</v>
      </c>
      <c r="N36" s="15">
        <f>K36*M36</f>
        <v>1</v>
      </c>
      <c r="O36" s="15">
        <f>L36*M36</f>
        <v>30</v>
      </c>
      <c r="P36" s="3">
        <v>1</v>
      </c>
      <c r="Q36" s="15">
        <f>P36*30</f>
        <v>30</v>
      </c>
      <c r="R36" s="17">
        <v>5</v>
      </c>
      <c r="S36" s="15">
        <f>P36*R36</f>
        <v>5</v>
      </c>
      <c r="T36" s="15">
        <f>Q36*R36</f>
        <v>150</v>
      </c>
      <c r="U36" s="4">
        <f>N36+S36</f>
        <v>6</v>
      </c>
      <c r="V36" s="3">
        <f>O36+T36</f>
        <v>180</v>
      </c>
      <c r="W36" s="19"/>
    </row>
    <row r="37" spans="1:23" ht="18" customHeight="1" x14ac:dyDescent="0.3">
      <c r="B37" s="63"/>
      <c r="C37" s="13" t="s">
        <v>18</v>
      </c>
      <c r="D37" s="66"/>
      <c r="E37" s="66"/>
      <c r="F37" s="66"/>
      <c r="G37" s="66"/>
      <c r="H37" s="66"/>
      <c r="I37" s="15">
        <v>120</v>
      </c>
      <c r="J37" s="15">
        <v>45</v>
      </c>
      <c r="K37" s="3">
        <v>0.5</v>
      </c>
      <c r="L37" s="15">
        <f>K37*30</f>
        <v>15</v>
      </c>
      <c r="M37" s="17">
        <v>1</v>
      </c>
      <c r="N37" s="15">
        <f>K37*M37</f>
        <v>0.5</v>
      </c>
      <c r="O37" s="15">
        <f>L37*M37</f>
        <v>15</v>
      </c>
      <c r="P37" s="3">
        <v>1</v>
      </c>
      <c r="Q37" s="15">
        <f>P37*30</f>
        <v>30</v>
      </c>
      <c r="R37" s="17">
        <v>1</v>
      </c>
      <c r="S37" s="15">
        <f>P37*R37</f>
        <v>1</v>
      </c>
      <c r="T37" s="15">
        <f>Q37*R37</f>
        <v>30</v>
      </c>
      <c r="U37" s="4">
        <f>N37+S37</f>
        <v>1.5</v>
      </c>
      <c r="V37" s="3">
        <f>O37+T37</f>
        <v>45</v>
      </c>
      <c r="W37" s="19"/>
    </row>
    <row r="38" spans="1:23" ht="21.75" customHeight="1" x14ac:dyDescent="0.3">
      <c r="A38" s="7"/>
      <c r="B38" s="14" t="s">
        <v>76</v>
      </c>
      <c r="C38" s="64" t="s">
        <v>17</v>
      </c>
      <c r="D38" s="64">
        <v>41</v>
      </c>
      <c r="E38" s="64"/>
      <c r="F38" s="64"/>
      <c r="G38" s="64" t="s">
        <v>105</v>
      </c>
      <c r="H38" s="12">
        <v>5</v>
      </c>
      <c r="I38" s="15">
        <v>150</v>
      </c>
      <c r="J38" s="15">
        <v>45</v>
      </c>
      <c r="K38" s="3">
        <v>0.5</v>
      </c>
      <c r="L38" s="15">
        <f t="shared" si="9"/>
        <v>15</v>
      </c>
      <c r="M38" s="17">
        <v>1</v>
      </c>
      <c r="N38" s="15">
        <f t="shared" si="10"/>
        <v>0.5</v>
      </c>
      <c r="O38" s="15">
        <f t="shared" si="11"/>
        <v>15</v>
      </c>
      <c r="P38" s="3">
        <v>1</v>
      </c>
      <c r="Q38" s="15">
        <f t="shared" si="12"/>
        <v>30</v>
      </c>
      <c r="R38" s="17">
        <v>2</v>
      </c>
      <c r="S38" s="15">
        <f t="shared" si="13"/>
        <v>2</v>
      </c>
      <c r="T38" s="15">
        <f t="shared" si="14"/>
        <v>60</v>
      </c>
      <c r="U38" s="4">
        <f t="shared" si="15"/>
        <v>2.5</v>
      </c>
      <c r="V38" s="3">
        <f t="shared" si="16"/>
        <v>75</v>
      </c>
      <c r="W38" s="19"/>
    </row>
    <row r="39" spans="1:23" ht="37.200000000000003" customHeight="1" x14ac:dyDescent="0.3">
      <c r="B39" s="14" t="s">
        <v>78</v>
      </c>
      <c r="C39" s="66"/>
      <c r="D39" s="65"/>
      <c r="E39" s="65"/>
      <c r="F39" s="65"/>
      <c r="G39" s="65"/>
      <c r="H39" s="12">
        <v>5</v>
      </c>
      <c r="I39" s="15">
        <v>150</v>
      </c>
      <c r="J39" s="15">
        <v>45</v>
      </c>
      <c r="K39" s="3">
        <v>0.5</v>
      </c>
      <c r="L39" s="15">
        <f t="shared" si="9"/>
        <v>15</v>
      </c>
      <c r="M39" s="17">
        <v>1</v>
      </c>
      <c r="N39" s="15">
        <f t="shared" si="10"/>
        <v>0.5</v>
      </c>
      <c r="O39" s="15">
        <f t="shared" si="11"/>
        <v>15</v>
      </c>
      <c r="P39" s="3">
        <v>1</v>
      </c>
      <c r="Q39" s="15">
        <f t="shared" si="12"/>
        <v>30</v>
      </c>
      <c r="R39" s="17">
        <v>2</v>
      </c>
      <c r="S39" s="15">
        <f t="shared" si="13"/>
        <v>2</v>
      </c>
      <c r="T39" s="15">
        <f t="shared" si="14"/>
        <v>60</v>
      </c>
      <c r="U39" s="4">
        <f t="shared" si="15"/>
        <v>2.5</v>
      </c>
      <c r="V39" s="3">
        <f t="shared" si="16"/>
        <v>75</v>
      </c>
      <c r="W39" s="19"/>
    </row>
    <row r="40" spans="1:23" ht="18" customHeight="1" x14ac:dyDescent="0.3">
      <c r="B40" s="62" t="s">
        <v>85</v>
      </c>
      <c r="C40" s="13" t="s">
        <v>17</v>
      </c>
      <c r="D40" s="64">
        <v>90</v>
      </c>
      <c r="E40" s="64">
        <v>8</v>
      </c>
      <c r="F40" s="64"/>
      <c r="G40" s="64" t="s">
        <v>106</v>
      </c>
      <c r="H40" s="64">
        <v>4</v>
      </c>
      <c r="I40" s="15">
        <v>120</v>
      </c>
      <c r="J40" s="15">
        <v>45</v>
      </c>
      <c r="K40" s="3">
        <v>0.5</v>
      </c>
      <c r="L40" s="15">
        <f t="shared" si="9"/>
        <v>15</v>
      </c>
      <c r="M40" s="17">
        <v>1</v>
      </c>
      <c r="N40" s="15">
        <f t="shared" si="10"/>
        <v>0.5</v>
      </c>
      <c r="O40" s="15">
        <f t="shared" si="11"/>
        <v>15</v>
      </c>
      <c r="P40" s="3">
        <v>1</v>
      </c>
      <c r="Q40" s="15">
        <f t="shared" si="12"/>
        <v>30</v>
      </c>
      <c r="R40" s="17">
        <v>3</v>
      </c>
      <c r="S40" s="15">
        <f t="shared" si="13"/>
        <v>3</v>
      </c>
      <c r="T40" s="15">
        <f t="shared" si="14"/>
        <v>90</v>
      </c>
      <c r="U40" s="4">
        <f t="shared" si="15"/>
        <v>3.5</v>
      </c>
      <c r="V40" s="3">
        <f t="shared" si="16"/>
        <v>105</v>
      </c>
      <c r="W40" s="19"/>
    </row>
    <row r="41" spans="1:23" ht="18" customHeight="1" x14ac:dyDescent="0.3">
      <c r="B41" s="63"/>
      <c r="C41" s="13" t="s">
        <v>18</v>
      </c>
      <c r="D41" s="65"/>
      <c r="E41" s="65"/>
      <c r="F41" s="65"/>
      <c r="G41" s="65"/>
      <c r="H41" s="66"/>
      <c r="I41" s="15">
        <v>120</v>
      </c>
      <c r="J41" s="15">
        <v>45</v>
      </c>
      <c r="K41" s="3">
        <v>0.5</v>
      </c>
      <c r="L41" s="15">
        <f t="shared" si="9"/>
        <v>15</v>
      </c>
      <c r="M41" s="17">
        <v>1</v>
      </c>
      <c r="N41" s="15">
        <f t="shared" si="10"/>
        <v>0.5</v>
      </c>
      <c r="O41" s="15">
        <f t="shared" si="11"/>
        <v>15</v>
      </c>
      <c r="P41" s="3">
        <v>1</v>
      </c>
      <c r="Q41" s="15">
        <f t="shared" si="12"/>
        <v>30</v>
      </c>
      <c r="R41" s="17">
        <v>1</v>
      </c>
      <c r="S41" s="15">
        <f t="shared" si="13"/>
        <v>1</v>
      </c>
      <c r="T41" s="15">
        <f t="shared" si="14"/>
        <v>30</v>
      </c>
      <c r="U41" s="4">
        <f t="shared" si="15"/>
        <v>1.5</v>
      </c>
      <c r="V41" s="3">
        <f t="shared" si="16"/>
        <v>45</v>
      </c>
      <c r="W41" s="19"/>
    </row>
    <row r="42" spans="1:23" ht="27" customHeight="1" x14ac:dyDescent="0.35">
      <c r="A42" s="8"/>
      <c r="B42" s="62" t="s">
        <v>107</v>
      </c>
      <c r="C42" s="13" t="s">
        <v>17</v>
      </c>
      <c r="D42" s="65"/>
      <c r="E42" s="65"/>
      <c r="F42" s="65"/>
      <c r="G42" s="65"/>
      <c r="H42" s="87">
        <v>4</v>
      </c>
      <c r="I42" s="15">
        <v>120</v>
      </c>
      <c r="J42" s="15">
        <v>45</v>
      </c>
      <c r="K42" s="3">
        <v>0.5</v>
      </c>
      <c r="L42" s="15">
        <f t="shared" si="9"/>
        <v>15</v>
      </c>
      <c r="M42" s="9">
        <v>1</v>
      </c>
      <c r="N42" s="15">
        <f t="shared" si="10"/>
        <v>0.5</v>
      </c>
      <c r="O42" s="15">
        <f t="shared" si="11"/>
        <v>15</v>
      </c>
      <c r="P42" s="3">
        <v>1</v>
      </c>
      <c r="Q42" s="15">
        <f t="shared" si="12"/>
        <v>30</v>
      </c>
      <c r="R42" s="9">
        <v>3</v>
      </c>
      <c r="S42" s="15">
        <f t="shared" si="13"/>
        <v>3</v>
      </c>
      <c r="T42" s="15">
        <f t="shared" si="14"/>
        <v>90</v>
      </c>
      <c r="U42" s="4">
        <f t="shared" si="15"/>
        <v>3.5</v>
      </c>
      <c r="V42" s="3">
        <f t="shared" si="16"/>
        <v>105</v>
      </c>
      <c r="W42" s="10"/>
    </row>
    <row r="43" spans="1:23" ht="25.5" customHeight="1" x14ac:dyDescent="0.35">
      <c r="A43" s="8"/>
      <c r="B43" s="63"/>
      <c r="C43" s="13" t="s">
        <v>18</v>
      </c>
      <c r="D43" s="66"/>
      <c r="E43" s="66"/>
      <c r="F43" s="66"/>
      <c r="G43" s="66"/>
      <c r="H43" s="88"/>
      <c r="I43" s="15">
        <v>120</v>
      </c>
      <c r="J43" s="15">
        <v>45</v>
      </c>
      <c r="K43" s="3">
        <v>0.5</v>
      </c>
      <c r="L43" s="15">
        <f t="shared" si="9"/>
        <v>15</v>
      </c>
      <c r="M43" s="9">
        <v>1</v>
      </c>
      <c r="N43" s="15">
        <f t="shared" si="10"/>
        <v>0.5</v>
      </c>
      <c r="O43" s="15">
        <f t="shared" si="11"/>
        <v>15</v>
      </c>
      <c r="P43" s="3">
        <v>1</v>
      </c>
      <c r="Q43" s="15">
        <f t="shared" si="12"/>
        <v>30</v>
      </c>
      <c r="R43" s="9">
        <v>1</v>
      </c>
      <c r="S43" s="15">
        <f t="shared" si="13"/>
        <v>1</v>
      </c>
      <c r="T43" s="15">
        <f t="shared" si="14"/>
        <v>30</v>
      </c>
      <c r="U43" s="4">
        <f t="shared" si="15"/>
        <v>1.5</v>
      </c>
      <c r="V43" s="3">
        <f t="shared" si="16"/>
        <v>45</v>
      </c>
      <c r="W43" s="20"/>
    </row>
    <row r="44" spans="1:23" ht="36" x14ac:dyDescent="0.3">
      <c r="A44" s="8"/>
      <c r="B44" s="14" t="s">
        <v>46</v>
      </c>
      <c r="C44" s="64" t="s">
        <v>17</v>
      </c>
      <c r="D44" s="64">
        <v>25</v>
      </c>
      <c r="E44" s="64"/>
      <c r="F44" s="64"/>
      <c r="G44" s="64" t="s">
        <v>21</v>
      </c>
      <c r="H44" s="16">
        <v>4</v>
      </c>
      <c r="I44" s="15">
        <v>120</v>
      </c>
      <c r="J44" s="15">
        <v>45</v>
      </c>
      <c r="K44" s="3">
        <v>0</v>
      </c>
      <c r="L44" s="15">
        <f t="shared" si="9"/>
        <v>0</v>
      </c>
      <c r="M44" s="9">
        <v>0</v>
      </c>
      <c r="N44" s="15">
        <f t="shared" si="10"/>
        <v>0</v>
      </c>
      <c r="O44" s="15">
        <f t="shared" si="11"/>
        <v>0</v>
      </c>
      <c r="P44" s="3">
        <v>1.5</v>
      </c>
      <c r="Q44" s="15">
        <f t="shared" si="12"/>
        <v>45</v>
      </c>
      <c r="R44" s="9">
        <v>12</v>
      </c>
      <c r="S44" s="15">
        <f t="shared" si="13"/>
        <v>18</v>
      </c>
      <c r="T44" s="15">
        <f t="shared" si="14"/>
        <v>540</v>
      </c>
      <c r="U44" s="4">
        <f t="shared" si="15"/>
        <v>18</v>
      </c>
      <c r="V44" s="3">
        <f t="shared" si="16"/>
        <v>540</v>
      </c>
      <c r="W44" s="34" t="s">
        <v>536</v>
      </c>
    </row>
    <row r="45" spans="1:23" ht="55.2" customHeight="1" x14ac:dyDescent="0.3">
      <c r="A45" s="7"/>
      <c r="B45" s="14" t="s">
        <v>108</v>
      </c>
      <c r="C45" s="66"/>
      <c r="D45" s="65"/>
      <c r="E45" s="65"/>
      <c r="F45" s="65"/>
      <c r="G45" s="65"/>
      <c r="H45" s="12">
        <v>4</v>
      </c>
      <c r="I45" s="15">
        <v>120</v>
      </c>
      <c r="J45" s="15">
        <v>45</v>
      </c>
      <c r="K45" s="3">
        <v>0</v>
      </c>
      <c r="L45" s="15">
        <f t="shared" si="9"/>
        <v>0</v>
      </c>
      <c r="M45" s="17">
        <v>0</v>
      </c>
      <c r="N45" s="15">
        <f t="shared" si="10"/>
        <v>0</v>
      </c>
      <c r="O45" s="15">
        <f t="shared" si="11"/>
        <v>0</v>
      </c>
      <c r="P45" s="3">
        <v>1.5</v>
      </c>
      <c r="Q45" s="15">
        <f t="shared" si="12"/>
        <v>45</v>
      </c>
      <c r="R45" s="17">
        <v>12</v>
      </c>
      <c r="S45" s="15">
        <f t="shared" si="13"/>
        <v>18</v>
      </c>
      <c r="T45" s="15">
        <f t="shared" si="14"/>
        <v>540</v>
      </c>
      <c r="U45" s="4">
        <f t="shared" si="15"/>
        <v>18</v>
      </c>
      <c r="V45" s="3">
        <f t="shared" si="16"/>
        <v>540</v>
      </c>
      <c r="W45" s="34" t="s">
        <v>557</v>
      </c>
    </row>
    <row r="46" spans="1:23" ht="18" customHeight="1" x14ac:dyDescent="0.3">
      <c r="A46" s="7"/>
      <c r="B46" s="62" t="s">
        <v>77</v>
      </c>
      <c r="C46" s="13" t="s">
        <v>17</v>
      </c>
      <c r="D46" s="64">
        <f>3+16</f>
        <v>19</v>
      </c>
      <c r="E46" s="64">
        <v>6</v>
      </c>
      <c r="F46" s="64"/>
      <c r="G46" s="64" t="s">
        <v>115</v>
      </c>
      <c r="H46" s="64">
        <v>4</v>
      </c>
      <c r="I46" s="15">
        <v>120</v>
      </c>
      <c r="J46" s="15">
        <v>45</v>
      </c>
      <c r="K46" s="3">
        <v>0.5</v>
      </c>
      <c r="L46" s="15">
        <f t="shared" si="9"/>
        <v>15</v>
      </c>
      <c r="M46" s="17">
        <v>1</v>
      </c>
      <c r="N46" s="15">
        <f t="shared" si="10"/>
        <v>0.5</v>
      </c>
      <c r="O46" s="15">
        <f t="shared" si="11"/>
        <v>15</v>
      </c>
      <c r="P46" s="3">
        <v>1</v>
      </c>
      <c r="Q46" s="15">
        <f t="shared" si="12"/>
        <v>30</v>
      </c>
      <c r="R46" s="9">
        <v>1</v>
      </c>
      <c r="S46" s="15">
        <f t="shared" si="13"/>
        <v>1</v>
      </c>
      <c r="T46" s="15">
        <f t="shared" si="14"/>
        <v>30</v>
      </c>
      <c r="U46" s="4">
        <f t="shared" si="15"/>
        <v>1.5</v>
      </c>
      <c r="V46" s="3">
        <f t="shared" si="16"/>
        <v>45</v>
      </c>
      <c r="W46" s="19"/>
    </row>
    <row r="47" spans="1:23" ht="18" customHeight="1" x14ac:dyDescent="0.3">
      <c r="A47" s="7"/>
      <c r="B47" s="63"/>
      <c r="C47" s="13" t="s">
        <v>18</v>
      </c>
      <c r="D47" s="65"/>
      <c r="E47" s="65"/>
      <c r="F47" s="65"/>
      <c r="G47" s="65"/>
      <c r="H47" s="66"/>
      <c r="I47" s="15">
        <v>120</v>
      </c>
      <c r="J47" s="15">
        <v>45</v>
      </c>
      <c r="K47" s="3">
        <v>0.5</v>
      </c>
      <c r="L47" s="15">
        <f t="shared" si="9"/>
        <v>15</v>
      </c>
      <c r="M47" s="17">
        <v>1</v>
      </c>
      <c r="N47" s="15">
        <f t="shared" si="10"/>
        <v>0.5</v>
      </c>
      <c r="O47" s="15">
        <f t="shared" si="11"/>
        <v>15</v>
      </c>
      <c r="P47" s="3">
        <v>1</v>
      </c>
      <c r="Q47" s="15">
        <f t="shared" si="12"/>
        <v>30</v>
      </c>
      <c r="R47" s="9">
        <v>1</v>
      </c>
      <c r="S47" s="15">
        <f t="shared" si="13"/>
        <v>1</v>
      </c>
      <c r="T47" s="15">
        <f t="shared" si="14"/>
        <v>30</v>
      </c>
      <c r="U47" s="4">
        <f t="shared" si="15"/>
        <v>1.5</v>
      </c>
      <c r="V47" s="3">
        <f t="shared" si="16"/>
        <v>45</v>
      </c>
      <c r="W47" s="19"/>
    </row>
    <row r="48" spans="1:23" ht="18" customHeight="1" x14ac:dyDescent="0.3">
      <c r="A48" s="7"/>
      <c r="B48" s="62" t="s">
        <v>89</v>
      </c>
      <c r="C48" s="13" t="s">
        <v>17</v>
      </c>
      <c r="D48" s="65"/>
      <c r="E48" s="65"/>
      <c r="F48" s="65"/>
      <c r="G48" s="65"/>
      <c r="H48" s="64">
        <v>4</v>
      </c>
      <c r="I48" s="15">
        <v>120</v>
      </c>
      <c r="J48" s="15">
        <v>45</v>
      </c>
      <c r="K48" s="3">
        <v>0</v>
      </c>
      <c r="L48" s="15">
        <f t="shared" si="9"/>
        <v>0</v>
      </c>
      <c r="M48" s="17">
        <v>0</v>
      </c>
      <c r="N48" s="15">
        <f t="shared" si="10"/>
        <v>0</v>
      </c>
      <c r="O48" s="15">
        <f t="shared" si="11"/>
        <v>0</v>
      </c>
      <c r="P48" s="3">
        <v>1.5</v>
      </c>
      <c r="Q48" s="15">
        <f t="shared" si="12"/>
        <v>45</v>
      </c>
      <c r="R48" s="9">
        <v>1</v>
      </c>
      <c r="S48" s="15">
        <f t="shared" si="13"/>
        <v>1.5</v>
      </c>
      <c r="T48" s="15">
        <f t="shared" si="14"/>
        <v>45</v>
      </c>
      <c r="U48" s="4">
        <f t="shared" si="15"/>
        <v>1.5</v>
      </c>
      <c r="V48" s="3">
        <f t="shared" si="16"/>
        <v>45</v>
      </c>
      <c r="W48" s="19"/>
    </row>
    <row r="49" spans="1:28" ht="18" customHeight="1" x14ac:dyDescent="0.3">
      <c r="A49" s="7"/>
      <c r="B49" s="63"/>
      <c r="C49" s="13" t="s">
        <v>18</v>
      </c>
      <c r="D49" s="65"/>
      <c r="E49" s="65"/>
      <c r="F49" s="65"/>
      <c r="G49" s="65"/>
      <c r="H49" s="66"/>
      <c r="I49" s="15">
        <v>120</v>
      </c>
      <c r="J49" s="15">
        <v>45</v>
      </c>
      <c r="K49" s="3">
        <v>0</v>
      </c>
      <c r="L49" s="15">
        <f t="shared" si="9"/>
        <v>0</v>
      </c>
      <c r="M49" s="17">
        <v>0</v>
      </c>
      <c r="N49" s="15">
        <f t="shared" si="10"/>
        <v>0</v>
      </c>
      <c r="O49" s="15">
        <f t="shared" si="11"/>
        <v>0</v>
      </c>
      <c r="P49" s="3">
        <v>1.5</v>
      </c>
      <c r="Q49" s="15">
        <f t="shared" si="12"/>
        <v>45</v>
      </c>
      <c r="R49" s="9">
        <v>1</v>
      </c>
      <c r="S49" s="15">
        <f t="shared" si="13"/>
        <v>1.5</v>
      </c>
      <c r="T49" s="15">
        <f t="shared" si="14"/>
        <v>45</v>
      </c>
      <c r="U49" s="4">
        <f t="shared" si="15"/>
        <v>1.5</v>
      </c>
      <c r="V49" s="3">
        <f t="shared" si="16"/>
        <v>45</v>
      </c>
      <c r="W49" s="19"/>
    </row>
    <row r="50" spans="1:28" ht="18" customHeight="1" x14ac:dyDescent="0.3">
      <c r="A50" s="7"/>
      <c r="B50" s="62" t="s">
        <v>90</v>
      </c>
      <c r="C50" s="13" t="s">
        <v>17</v>
      </c>
      <c r="D50" s="65"/>
      <c r="E50" s="65"/>
      <c r="F50" s="65"/>
      <c r="G50" s="65"/>
      <c r="H50" s="64">
        <v>5</v>
      </c>
      <c r="I50" s="15">
        <v>150</v>
      </c>
      <c r="J50" s="15">
        <v>45</v>
      </c>
      <c r="K50" s="3">
        <v>0.5</v>
      </c>
      <c r="L50" s="15">
        <f t="shared" si="9"/>
        <v>15</v>
      </c>
      <c r="M50" s="17">
        <v>1</v>
      </c>
      <c r="N50" s="15">
        <f t="shared" si="10"/>
        <v>0.5</v>
      </c>
      <c r="O50" s="15">
        <f t="shared" si="11"/>
        <v>15</v>
      </c>
      <c r="P50" s="3">
        <v>1</v>
      </c>
      <c r="Q50" s="15">
        <f t="shared" si="12"/>
        <v>30</v>
      </c>
      <c r="R50" s="9">
        <v>1</v>
      </c>
      <c r="S50" s="15">
        <f t="shared" si="13"/>
        <v>1</v>
      </c>
      <c r="T50" s="15">
        <f t="shared" si="14"/>
        <v>30</v>
      </c>
      <c r="U50" s="4">
        <f t="shared" si="15"/>
        <v>1.5</v>
      </c>
      <c r="V50" s="3">
        <f t="shared" si="16"/>
        <v>45</v>
      </c>
      <c r="W50" s="19"/>
    </row>
    <row r="51" spans="1:28" ht="18" customHeight="1" x14ac:dyDescent="0.3">
      <c r="A51" s="7"/>
      <c r="B51" s="63"/>
      <c r="C51" s="13" t="s">
        <v>18</v>
      </c>
      <c r="D51" s="66"/>
      <c r="E51" s="66"/>
      <c r="F51" s="66"/>
      <c r="G51" s="66"/>
      <c r="H51" s="66"/>
      <c r="I51" s="15">
        <v>150</v>
      </c>
      <c r="J51" s="15">
        <v>45</v>
      </c>
      <c r="K51" s="3">
        <v>0.5</v>
      </c>
      <c r="L51" s="15">
        <f t="shared" si="9"/>
        <v>15</v>
      </c>
      <c r="M51" s="17">
        <v>1</v>
      </c>
      <c r="N51" s="15">
        <f t="shared" si="10"/>
        <v>0.5</v>
      </c>
      <c r="O51" s="15">
        <f t="shared" si="11"/>
        <v>15</v>
      </c>
      <c r="P51" s="3">
        <v>1</v>
      </c>
      <c r="Q51" s="15">
        <f t="shared" si="12"/>
        <v>30</v>
      </c>
      <c r="R51" s="9">
        <v>1</v>
      </c>
      <c r="S51" s="15">
        <f t="shared" si="13"/>
        <v>1</v>
      </c>
      <c r="T51" s="15">
        <f t="shared" si="14"/>
        <v>30</v>
      </c>
      <c r="U51" s="4">
        <f t="shared" si="15"/>
        <v>1.5</v>
      </c>
      <c r="V51" s="3">
        <f t="shared" si="16"/>
        <v>45</v>
      </c>
      <c r="W51" s="19"/>
    </row>
    <row r="52" spans="1:28" ht="37.200000000000003" customHeight="1" x14ac:dyDescent="0.3">
      <c r="A52" s="7"/>
      <c r="B52" s="14" t="s">
        <v>111</v>
      </c>
      <c r="C52" s="64" t="s">
        <v>17</v>
      </c>
      <c r="D52" s="64">
        <v>3</v>
      </c>
      <c r="E52" s="64"/>
      <c r="F52" s="64"/>
      <c r="G52" s="64" t="s">
        <v>110</v>
      </c>
      <c r="H52" s="12">
        <v>6</v>
      </c>
      <c r="I52" s="15">
        <v>180</v>
      </c>
      <c r="J52" s="15">
        <v>60</v>
      </c>
      <c r="K52" s="3">
        <v>0</v>
      </c>
      <c r="L52" s="15">
        <f t="shared" si="9"/>
        <v>0</v>
      </c>
      <c r="M52" s="17">
        <v>0</v>
      </c>
      <c r="N52" s="15">
        <f t="shared" si="10"/>
        <v>0</v>
      </c>
      <c r="O52" s="15">
        <f t="shared" si="11"/>
        <v>0</v>
      </c>
      <c r="P52" s="3">
        <v>2</v>
      </c>
      <c r="Q52" s="15">
        <f t="shared" si="12"/>
        <v>60</v>
      </c>
      <c r="R52" s="9">
        <v>1</v>
      </c>
      <c r="S52" s="15">
        <f t="shared" si="13"/>
        <v>2</v>
      </c>
      <c r="T52" s="15">
        <f t="shared" si="14"/>
        <v>60</v>
      </c>
      <c r="U52" s="4">
        <f t="shared" si="15"/>
        <v>2</v>
      </c>
      <c r="V52" s="3">
        <f t="shared" si="16"/>
        <v>60</v>
      </c>
      <c r="W52" s="19"/>
    </row>
    <row r="53" spans="1:28" ht="39.6" customHeight="1" x14ac:dyDescent="0.3">
      <c r="A53" s="7"/>
      <c r="B53" s="14" t="s">
        <v>91</v>
      </c>
      <c r="C53" s="66"/>
      <c r="D53" s="65"/>
      <c r="E53" s="65"/>
      <c r="F53" s="65"/>
      <c r="G53" s="65"/>
      <c r="H53" s="12">
        <v>6</v>
      </c>
      <c r="I53" s="15">
        <v>180</v>
      </c>
      <c r="J53" s="15">
        <v>60</v>
      </c>
      <c r="K53" s="3">
        <v>0</v>
      </c>
      <c r="L53" s="15">
        <f t="shared" si="9"/>
        <v>0</v>
      </c>
      <c r="M53" s="17">
        <v>0</v>
      </c>
      <c r="N53" s="15">
        <f t="shared" si="10"/>
        <v>0</v>
      </c>
      <c r="O53" s="15">
        <f t="shared" si="11"/>
        <v>0</v>
      </c>
      <c r="P53" s="3">
        <v>2</v>
      </c>
      <c r="Q53" s="15">
        <f t="shared" si="12"/>
        <v>60</v>
      </c>
      <c r="R53" s="9">
        <v>1</v>
      </c>
      <c r="S53" s="15">
        <f t="shared" si="13"/>
        <v>2</v>
      </c>
      <c r="T53" s="15">
        <f t="shared" si="14"/>
        <v>60</v>
      </c>
      <c r="U53" s="4">
        <f t="shared" si="15"/>
        <v>2</v>
      </c>
      <c r="V53" s="3">
        <f t="shared" si="16"/>
        <v>60</v>
      </c>
      <c r="W53" s="19"/>
    </row>
    <row r="54" spans="1:28" ht="18" customHeight="1" x14ac:dyDescent="0.3">
      <c r="A54" s="7"/>
      <c r="B54" s="62" t="s">
        <v>47</v>
      </c>
      <c r="C54" s="13" t="s">
        <v>17</v>
      </c>
      <c r="D54" s="64">
        <v>156</v>
      </c>
      <c r="E54" s="64">
        <v>13</v>
      </c>
      <c r="F54" s="64"/>
      <c r="G54" s="64" t="s">
        <v>117</v>
      </c>
      <c r="H54" s="64">
        <v>4</v>
      </c>
      <c r="I54" s="15">
        <v>120</v>
      </c>
      <c r="J54" s="15">
        <v>45</v>
      </c>
      <c r="K54" s="3">
        <v>0.5</v>
      </c>
      <c r="L54" s="15">
        <f t="shared" si="9"/>
        <v>15</v>
      </c>
      <c r="M54" s="17">
        <v>2</v>
      </c>
      <c r="N54" s="15">
        <f t="shared" si="10"/>
        <v>1</v>
      </c>
      <c r="O54" s="15">
        <f t="shared" si="11"/>
        <v>30</v>
      </c>
      <c r="P54" s="3">
        <v>1</v>
      </c>
      <c r="Q54" s="15">
        <f t="shared" si="12"/>
        <v>30</v>
      </c>
      <c r="R54" s="38">
        <v>7</v>
      </c>
      <c r="S54" s="15">
        <f t="shared" si="13"/>
        <v>7</v>
      </c>
      <c r="T54" s="15">
        <f t="shared" si="14"/>
        <v>210</v>
      </c>
      <c r="U54" s="4">
        <f t="shared" si="15"/>
        <v>8</v>
      </c>
      <c r="V54" s="3">
        <f t="shared" si="16"/>
        <v>240</v>
      </c>
      <c r="W54" s="19"/>
    </row>
    <row r="55" spans="1:28" ht="18" customHeight="1" x14ac:dyDescent="0.3">
      <c r="A55" s="7"/>
      <c r="B55" s="63"/>
      <c r="C55" s="13" t="s">
        <v>18</v>
      </c>
      <c r="D55" s="65"/>
      <c r="E55" s="65"/>
      <c r="F55" s="65"/>
      <c r="G55" s="65"/>
      <c r="H55" s="66"/>
      <c r="I55" s="15">
        <v>120</v>
      </c>
      <c r="J55" s="15">
        <v>45</v>
      </c>
      <c r="K55" s="3">
        <v>0.5</v>
      </c>
      <c r="L55" s="15">
        <f t="shared" si="9"/>
        <v>15</v>
      </c>
      <c r="M55" s="17">
        <v>1</v>
      </c>
      <c r="N55" s="15">
        <f t="shared" si="10"/>
        <v>0.5</v>
      </c>
      <c r="O55" s="15">
        <f t="shared" si="11"/>
        <v>15</v>
      </c>
      <c r="P55" s="3">
        <v>1</v>
      </c>
      <c r="Q55" s="15">
        <f t="shared" si="12"/>
        <v>30</v>
      </c>
      <c r="R55" s="38">
        <v>1</v>
      </c>
      <c r="S55" s="15">
        <f t="shared" si="13"/>
        <v>1</v>
      </c>
      <c r="T55" s="15">
        <f t="shared" si="14"/>
        <v>30</v>
      </c>
      <c r="U55" s="4">
        <f t="shared" si="15"/>
        <v>1.5</v>
      </c>
      <c r="V55" s="3">
        <f t="shared" si="16"/>
        <v>45</v>
      </c>
      <c r="W55" s="19"/>
    </row>
    <row r="56" spans="1:28" ht="18" customHeight="1" x14ac:dyDescent="0.3">
      <c r="A56" s="7"/>
      <c r="B56" s="62" t="s">
        <v>35</v>
      </c>
      <c r="C56" s="13" t="s">
        <v>17</v>
      </c>
      <c r="D56" s="65"/>
      <c r="E56" s="65"/>
      <c r="F56" s="65"/>
      <c r="G56" s="65"/>
      <c r="H56" s="64">
        <v>4</v>
      </c>
      <c r="I56" s="15">
        <v>120</v>
      </c>
      <c r="J56" s="15">
        <v>45</v>
      </c>
      <c r="K56" s="3">
        <v>0</v>
      </c>
      <c r="L56" s="15">
        <f t="shared" si="9"/>
        <v>0</v>
      </c>
      <c r="M56" s="17">
        <v>0</v>
      </c>
      <c r="N56" s="15">
        <f t="shared" si="10"/>
        <v>0</v>
      </c>
      <c r="O56" s="15">
        <f t="shared" si="11"/>
        <v>0</v>
      </c>
      <c r="P56" s="3">
        <v>1.5</v>
      </c>
      <c r="Q56" s="15">
        <f t="shared" si="12"/>
        <v>45</v>
      </c>
      <c r="R56" s="38">
        <v>7</v>
      </c>
      <c r="S56" s="15">
        <f t="shared" si="13"/>
        <v>10.5</v>
      </c>
      <c r="T56" s="15">
        <f t="shared" si="14"/>
        <v>315</v>
      </c>
      <c r="U56" s="4">
        <f t="shared" si="15"/>
        <v>10.5</v>
      </c>
      <c r="V56" s="3">
        <f t="shared" si="16"/>
        <v>315</v>
      </c>
      <c r="W56" s="19"/>
    </row>
    <row r="57" spans="1:28" ht="18" customHeight="1" x14ac:dyDescent="0.3">
      <c r="A57" s="7"/>
      <c r="B57" s="63"/>
      <c r="C57" s="13" t="s">
        <v>18</v>
      </c>
      <c r="D57" s="66"/>
      <c r="E57" s="66"/>
      <c r="F57" s="66"/>
      <c r="G57" s="66"/>
      <c r="H57" s="66"/>
      <c r="I57" s="15">
        <v>120</v>
      </c>
      <c r="J57" s="15">
        <v>45</v>
      </c>
      <c r="K57" s="3">
        <v>0</v>
      </c>
      <c r="L57" s="15">
        <f t="shared" si="9"/>
        <v>0</v>
      </c>
      <c r="M57" s="17">
        <v>0</v>
      </c>
      <c r="N57" s="15">
        <f t="shared" si="10"/>
        <v>0</v>
      </c>
      <c r="O57" s="15">
        <f t="shared" si="11"/>
        <v>0</v>
      </c>
      <c r="P57" s="3">
        <v>1.5</v>
      </c>
      <c r="Q57" s="15">
        <f t="shared" si="12"/>
        <v>45</v>
      </c>
      <c r="R57" s="38">
        <v>1</v>
      </c>
      <c r="S57" s="15">
        <f t="shared" si="13"/>
        <v>1.5</v>
      </c>
      <c r="T57" s="15">
        <f t="shared" si="14"/>
        <v>45</v>
      </c>
      <c r="U57" s="4">
        <f t="shared" si="15"/>
        <v>1.5</v>
      </c>
      <c r="V57" s="3">
        <f t="shared" si="16"/>
        <v>45</v>
      </c>
      <c r="W57" s="19"/>
    </row>
    <row r="58" spans="1:28" ht="18" customHeight="1" x14ac:dyDescent="0.3">
      <c r="B58" s="62" t="s">
        <v>48</v>
      </c>
      <c r="C58" s="13" t="s">
        <v>17</v>
      </c>
      <c r="D58" s="64">
        <v>31</v>
      </c>
      <c r="E58" s="64">
        <v>2</v>
      </c>
      <c r="F58" s="64"/>
      <c r="G58" s="64" t="s">
        <v>22</v>
      </c>
      <c r="H58" s="64">
        <v>4</v>
      </c>
      <c r="I58" s="15">
        <v>120</v>
      </c>
      <c r="J58" s="15">
        <v>45</v>
      </c>
      <c r="K58" s="3">
        <v>0.5</v>
      </c>
      <c r="L58" s="15">
        <f t="shared" si="9"/>
        <v>15</v>
      </c>
      <c r="M58" s="17">
        <v>1</v>
      </c>
      <c r="N58" s="15">
        <f t="shared" si="10"/>
        <v>0.5</v>
      </c>
      <c r="O58" s="15">
        <f t="shared" si="11"/>
        <v>15</v>
      </c>
      <c r="P58" s="3">
        <v>1</v>
      </c>
      <c r="Q58" s="15">
        <f t="shared" si="12"/>
        <v>30</v>
      </c>
      <c r="R58" s="38">
        <v>2</v>
      </c>
      <c r="S58" s="15">
        <f t="shared" si="13"/>
        <v>2</v>
      </c>
      <c r="T58" s="15">
        <f t="shared" si="14"/>
        <v>60</v>
      </c>
      <c r="U58" s="4">
        <f t="shared" si="15"/>
        <v>2.5</v>
      </c>
      <c r="V58" s="3">
        <f t="shared" si="16"/>
        <v>75</v>
      </c>
      <c r="W58" s="19"/>
    </row>
    <row r="59" spans="1:28" ht="18" customHeight="1" x14ac:dyDescent="0.3">
      <c r="B59" s="63"/>
      <c r="C59" s="13" t="s">
        <v>18</v>
      </c>
      <c r="D59" s="65"/>
      <c r="E59" s="65"/>
      <c r="F59" s="65"/>
      <c r="G59" s="65"/>
      <c r="H59" s="66"/>
      <c r="I59" s="15">
        <v>120</v>
      </c>
      <c r="J59" s="15">
        <v>45</v>
      </c>
      <c r="K59" s="3">
        <v>0.5</v>
      </c>
      <c r="L59" s="15">
        <f t="shared" si="9"/>
        <v>15</v>
      </c>
      <c r="M59" s="17">
        <v>1</v>
      </c>
      <c r="N59" s="15">
        <f t="shared" si="10"/>
        <v>0.5</v>
      </c>
      <c r="O59" s="15">
        <f t="shared" si="11"/>
        <v>15</v>
      </c>
      <c r="P59" s="3">
        <v>1</v>
      </c>
      <c r="Q59" s="15">
        <f t="shared" si="12"/>
        <v>30</v>
      </c>
      <c r="R59" s="38">
        <v>1</v>
      </c>
      <c r="S59" s="15">
        <f t="shared" si="13"/>
        <v>1</v>
      </c>
      <c r="T59" s="15">
        <f t="shared" si="14"/>
        <v>30</v>
      </c>
      <c r="U59" s="4">
        <f t="shared" si="15"/>
        <v>1.5</v>
      </c>
      <c r="V59" s="3">
        <f t="shared" si="16"/>
        <v>45</v>
      </c>
      <c r="W59" s="19"/>
    </row>
    <row r="60" spans="1:28" ht="18" customHeight="1" x14ac:dyDescent="0.3">
      <c r="B60" s="89" t="s">
        <v>589</v>
      </c>
      <c r="C60" s="13" t="s">
        <v>17</v>
      </c>
      <c r="D60" s="65"/>
      <c r="E60" s="65"/>
      <c r="F60" s="65"/>
      <c r="G60" s="65"/>
      <c r="H60" s="64">
        <v>4</v>
      </c>
      <c r="I60" s="15">
        <v>120</v>
      </c>
      <c r="J60" s="15">
        <v>45</v>
      </c>
      <c r="K60" s="3">
        <v>0.5</v>
      </c>
      <c r="L60" s="15">
        <f t="shared" si="9"/>
        <v>15</v>
      </c>
      <c r="M60" s="17">
        <v>1</v>
      </c>
      <c r="N60" s="15">
        <f t="shared" si="10"/>
        <v>0.5</v>
      </c>
      <c r="O60" s="15">
        <f t="shared" si="11"/>
        <v>15</v>
      </c>
      <c r="P60" s="3">
        <v>1</v>
      </c>
      <c r="Q60" s="15">
        <f t="shared" si="12"/>
        <v>30</v>
      </c>
      <c r="R60" s="38">
        <v>2</v>
      </c>
      <c r="S60" s="15">
        <f t="shared" si="13"/>
        <v>2</v>
      </c>
      <c r="T60" s="15">
        <f t="shared" si="14"/>
        <v>60</v>
      </c>
      <c r="U60" s="4">
        <f t="shared" si="15"/>
        <v>2.5</v>
      </c>
      <c r="V60" s="3">
        <f t="shared" si="16"/>
        <v>75</v>
      </c>
      <c r="W60" s="19" t="s">
        <v>582</v>
      </c>
    </row>
    <row r="61" spans="1:28" ht="18" customHeight="1" x14ac:dyDescent="0.3">
      <c r="B61" s="90"/>
      <c r="C61" s="13" t="s">
        <v>18</v>
      </c>
      <c r="D61" s="66"/>
      <c r="E61" s="66"/>
      <c r="F61" s="66"/>
      <c r="G61" s="66"/>
      <c r="H61" s="66"/>
      <c r="I61" s="15">
        <v>120</v>
      </c>
      <c r="J61" s="15">
        <v>45</v>
      </c>
      <c r="K61" s="3">
        <v>0.5</v>
      </c>
      <c r="L61" s="15">
        <f t="shared" si="9"/>
        <v>15</v>
      </c>
      <c r="M61" s="38">
        <v>1</v>
      </c>
      <c r="N61" s="15">
        <f t="shared" si="10"/>
        <v>0.5</v>
      </c>
      <c r="O61" s="15">
        <f t="shared" si="11"/>
        <v>15</v>
      </c>
      <c r="P61" s="3">
        <v>1</v>
      </c>
      <c r="Q61" s="15">
        <f t="shared" si="12"/>
        <v>30</v>
      </c>
      <c r="R61" s="38">
        <v>1</v>
      </c>
      <c r="S61" s="15">
        <f t="shared" si="13"/>
        <v>1</v>
      </c>
      <c r="T61" s="15">
        <f t="shared" si="14"/>
        <v>30</v>
      </c>
      <c r="U61" s="4">
        <f t="shared" si="15"/>
        <v>1.5</v>
      </c>
      <c r="V61" s="3">
        <f t="shared" si="16"/>
        <v>45</v>
      </c>
      <c r="W61" s="19" t="s">
        <v>582</v>
      </c>
      <c r="X61" s="57"/>
      <c r="Y61" s="57"/>
      <c r="Z61" s="57"/>
      <c r="AA61" s="57"/>
      <c r="AB61" s="57"/>
    </row>
    <row r="62" spans="1:28" ht="18" customHeight="1" x14ac:dyDescent="0.4">
      <c r="B62" s="62" t="s">
        <v>52</v>
      </c>
      <c r="C62" s="13" t="s">
        <v>17</v>
      </c>
      <c r="D62" s="64">
        <v>102</v>
      </c>
      <c r="E62" s="64">
        <v>14</v>
      </c>
      <c r="F62" s="64"/>
      <c r="G62" s="64" t="s">
        <v>23</v>
      </c>
      <c r="H62" s="64">
        <v>4</v>
      </c>
      <c r="I62" s="15">
        <v>120</v>
      </c>
      <c r="J62" s="15">
        <v>45</v>
      </c>
      <c r="K62" s="3">
        <v>0.5</v>
      </c>
      <c r="L62" s="15">
        <f t="shared" si="9"/>
        <v>15</v>
      </c>
      <c r="M62" s="38">
        <v>2</v>
      </c>
      <c r="N62" s="15">
        <f t="shared" si="10"/>
        <v>1</v>
      </c>
      <c r="O62" s="15">
        <f t="shared" si="11"/>
        <v>30</v>
      </c>
      <c r="P62" s="3">
        <v>1</v>
      </c>
      <c r="Q62" s="15">
        <f t="shared" si="12"/>
        <v>30</v>
      </c>
      <c r="R62" s="17">
        <v>6</v>
      </c>
      <c r="S62" s="15">
        <f t="shared" si="13"/>
        <v>6</v>
      </c>
      <c r="T62" s="15">
        <f t="shared" si="14"/>
        <v>180</v>
      </c>
      <c r="U62" s="4">
        <f t="shared" si="15"/>
        <v>7</v>
      </c>
      <c r="V62" s="3">
        <f t="shared" si="16"/>
        <v>210</v>
      </c>
      <c r="W62" s="19" t="s">
        <v>617</v>
      </c>
      <c r="X62" s="58"/>
      <c r="Y62" s="57"/>
      <c r="Z62" s="57"/>
      <c r="AA62" s="57"/>
      <c r="AB62" s="57"/>
    </row>
    <row r="63" spans="1:28" ht="18" customHeight="1" x14ac:dyDescent="0.4">
      <c r="B63" s="63"/>
      <c r="C63" s="13" t="s">
        <v>18</v>
      </c>
      <c r="D63" s="65"/>
      <c r="E63" s="65"/>
      <c r="F63" s="65"/>
      <c r="G63" s="65"/>
      <c r="H63" s="66"/>
      <c r="I63" s="15">
        <v>120</v>
      </c>
      <c r="J63" s="15">
        <v>45</v>
      </c>
      <c r="K63" s="3">
        <v>0.5</v>
      </c>
      <c r="L63" s="15">
        <f t="shared" si="9"/>
        <v>15</v>
      </c>
      <c r="M63" s="38">
        <v>1</v>
      </c>
      <c r="N63" s="15">
        <f t="shared" si="10"/>
        <v>0.5</v>
      </c>
      <c r="O63" s="15">
        <f t="shared" si="11"/>
        <v>15</v>
      </c>
      <c r="P63" s="3">
        <v>1</v>
      </c>
      <c r="Q63" s="15">
        <f t="shared" si="12"/>
        <v>30</v>
      </c>
      <c r="R63" s="17">
        <v>1</v>
      </c>
      <c r="S63" s="15">
        <f t="shared" si="13"/>
        <v>1</v>
      </c>
      <c r="T63" s="15">
        <f t="shared" si="14"/>
        <v>30</v>
      </c>
      <c r="U63" s="4">
        <f t="shared" si="15"/>
        <v>1.5</v>
      </c>
      <c r="V63" s="3">
        <f t="shared" si="16"/>
        <v>45</v>
      </c>
      <c r="W63" s="19" t="s">
        <v>597</v>
      </c>
      <c r="X63" s="58"/>
      <c r="Y63" s="57"/>
      <c r="Z63" s="57"/>
      <c r="AA63" s="57"/>
      <c r="AB63" s="57"/>
    </row>
    <row r="64" spans="1:28" ht="18" customHeight="1" x14ac:dyDescent="0.3">
      <c r="B64" s="62" t="s">
        <v>53</v>
      </c>
      <c r="C64" s="13" t="s">
        <v>17</v>
      </c>
      <c r="D64" s="65"/>
      <c r="E64" s="65"/>
      <c r="F64" s="65"/>
      <c r="G64" s="65"/>
      <c r="H64" s="64">
        <v>4</v>
      </c>
      <c r="I64" s="15">
        <v>120</v>
      </c>
      <c r="J64" s="15">
        <v>45</v>
      </c>
      <c r="K64" s="3">
        <v>0.5</v>
      </c>
      <c r="L64" s="15">
        <f t="shared" si="9"/>
        <v>15</v>
      </c>
      <c r="M64" s="38">
        <v>2</v>
      </c>
      <c r="N64" s="15">
        <f t="shared" si="10"/>
        <v>1</v>
      </c>
      <c r="O64" s="15">
        <f t="shared" si="11"/>
        <v>30</v>
      </c>
      <c r="P64" s="3">
        <v>1</v>
      </c>
      <c r="Q64" s="15">
        <f t="shared" si="12"/>
        <v>30</v>
      </c>
      <c r="R64" s="17">
        <v>6</v>
      </c>
      <c r="S64" s="15">
        <f t="shared" si="13"/>
        <v>6</v>
      </c>
      <c r="T64" s="15">
        <f t="shared" si="14"/>
        <v>180</v>
      </c>
      <c r="U64" s="4">
        <f t="shared" si="15"/>
        <v>7</v>
      </c>
      <c r="V64" s="3">
        <f t="shared" si="16"/>
        <v>210</v>
      </c>
      <c r="W64" s="19"/>
      <c r="X64" s="57"/>
      <c r="Y64" s="57"/>
      <c r="Z64" s="57"/>
      <c r="AA64" s="57"/>
      <c r="AB64" s="57"/>
    </row>
    <row r="65" spans="1:28" ht="18" customHeight="1" x14ac:dyDescent="0.3">
      <c r="B65" s="63"/>
      <c r="C65" s="13" t="s">
        <v>18</v>
      </c>
      <c r="D65" s="66"/>
      <c r="E65" s="66"/>
      <c r="F65" s="66"/>
      <c r="G65" s="66"/>
      <c r="H65" s="66"/>
      <c r="I65" s="15">
        <v>120</v>
      </c>
      <c r="J65" s="15">
        <v>45</v>
      </c>
      <c r="K65" s="3">
        <v>0.5</v>
      </c>
      <c r="L65" s="15">
        <f t="shared" si="9"/>
        <v>15</v>
      </c>
      <c r="M65" s="38">
        <v>1</v>
      </c>
      <c r="N65" s="15">
        <f t="shared" si="10"/>
        <v>0.5</v>
      </c>
      <c r="O65" s="15">
        <f t="shared" si="11"/>
        <v>15</v>
      </c>
      <c r="P65" s="3">
        <v>1</v>
      </c>
      <c r="Q65" s="15">
        <f t="shared" si="12"/>
        <v>30</v>
      </c>
      <c r="R65" s="17">
        <v>1</v>
      </c>
      <c r="S65" s="15">
        <f t="shared" si="13"/>
        <v>1</v>
      </c>
      <c r="T65" s="15">
        <f t="shared" si="14"/>
        <v>30</v>
      </c>
      <c r="U65" s="4">
        <f t="shared" si="15"/>
        <v>1.5</v>
      </c>
      <c r="V65" s="3">
        <f t="shared" si="16"/>
        <v>45</v>
      </c>
      <c r="W65" s="19"/>
      <c r="X65" s="57"/>
      <c r="Y65" s="57"/>
      <c r="Z65" s="57"/>
      <c r="AA65" s="57"/>
      <c r="AB65" s="57"/>
    </row>
    <row r="66" spans="1:28" ht="18" customHeight="1" x14ac:dyDescent="0.35">
      <c r="A66" s="8"/>
      <c r="B66" s="62" t="s">
        <v>56</v>
      </c>
      <c r="C66" s="13" t="s">
        <v>17</v>
      </c>
      <c r="D66" s="64">
        <v>55</v>
      </c>
      <c r="E66" s="64">
        <v>3</v>
      </c>
      <c r="F66" s="64"/>
      <c r="G66" s="64" t="s">
        <v>24</v>
      </c>
      <c r="H66" s="87">
        <v>4</v>
      </c>
      <c r="I66" s="15">
        <v>120</v>
      </c>
      <c r="J66" s="15">
        <v>45</v>
      </c>
      <c r="K66" s="3">
        <v>0.5</v>
      </c>
      <c r="L66" s="15">
        <f t="shared" si="9"/>
        <v>15</v>
      </c>
      <c r="M66" s="17">
        <v>1</v>
      </c>
      <c r="N66" s="15">
        <f t="shared" si="10"/>
        <v>0.5</v>
      </c>
      <c r="O66" s="15">
        <f t="shared" si="11"/>
        <v>15</v>
      </c>
      <c r="P66" s="3">
        <v>1</v>
      </c>
      <c r="Q66" s="15">
        <f t="shared" si="12"/>
        <v>30</v>
      </c>
      <c r="R66" s="39">
        <v>4</v>
      </c>
      <c r="S66" s="15">
        <f t="shared" si="13"/>
        <v>4</v>
      </c>
      <c r="T66" s="15">
        <f t="shared" si="14"/>
        <v>120</v>
      </c>
      <c r="U66" s="4">
        <f t="shared" si="15"/>
        <v>4.5</v>
      </c>
      <c r="V66" s="3">
        <f t="shared" si="16"/>
        <v>135</v>
      </c>
      <c r="W66" s="10"/>
      <c r="X66" s="57"/>
      <c r="Y66" s="57"/>
      <c r="Z66" s="57"/>
      <c r="AA66" s="57"/>
      <c r="AB66" s="57"/>
    </row>
    <row r="67" spans="1:28" ht="18" customHeight="1" x14ac:dyDescent="0.35">
      <c r="A67" s="8"/>
      <c r="B67" s="63"/>
      <c r="C67" s="13" t="s">
        <v>18</v>
      </c>
      <c r="D67" s="65"/>
      <c r="E67" s="65"/>
      <c r="F67" s="65"/>
      <c r="G67" s="65"/>
      <c r="H67" s="88"/>
      <c r="I67" s="15">
        <v>120</v>
      </c>
      <c r="J67" s="15">
        <v>45</v>
      </c>
      <c r="K67" s="3">
        <v>0.5</v>
      </c>
      <c r="L67" s="15">
        <f t="shared" si="9"/>
        <v>15</v>
      </c>
      <c r="M67" s="17">
        <v>1</v>
      </c>
      <c r="N67" s="15">
        <f t="shared" si="10"/>
        <v>0.5</v>
      </c>
      <c r="O67" s="15">
        <f t="shared" si="11"/>
        <v>15</v>
      </c>
      <c r="P67" s="3">
        <v>1</v>
      </c>
      <c r="Q67" s="15">
        <f t="shared" si="12"/>
        <v>30</v>
      </c>
      <c r="R67" s="39">
        <v>1</v>
      </c>
      <c r="S67" s="15">
        <f t="shared" si="13"/>
        <v>1</v>
      </c>
      <c r="T67" s="15">
        <f t="shared" si="14"/>
        <v>30</v>
      </c>
      <c r="U67" s="4">
        <f t="shared" si="15"/>
        <v>1.5</v>
      </c>
      <c r="V67" s="3">
        <f t="shared" si="16"/>
        <v>45</v>
      </c>
      <c r="W67" s="20"/>
    </row>
    <row r="68" spans="1:28" ht="18" customHeight="1" x14ac:dyDescent="0.35">
      <c r="A68" s="8"/>
      <c r="B68" s="62" t="s">
        <v>57</v>
      </c>
      <c r="C68" s="13" t="s">
        <v>17</v>
      </c>
      <c r="D68" s="65"/>
      <c r="E68" s="65"/>
      <c r="F68" s="65"/>
      <c r="G68" s="65"/>
      <c r="H68" s="87">
        <v>4</v>
      </c>
      <c r="I68" s="15">
        <v>120</v>
      </c>
      <c r="J68" s="15">
        <v>45</v>
      </c>
      <c r="K68" s="3">
        <v>0.5</v>
      </c>
      <c r="L68" s="15">
        <f t="shared" si="9"/>
        <v>15</v>
      </c>
      <c r="M68" s="17">
        <v>1</v>
      </c>
      <c r="N68" s="15">
        <f t="shared" si="10"/>
        <v>0.5</v>
      </c>
      <c r="O68" s="15">
        <f t="shared" si="11"/>
        <v>15</v>
      </c>
      <c r="P68" s="3">
        <v>1</v>
      </c>
      <c r="Q68" s="15">
        <f t="shared" si="12"/>
        <v>30</v>
      </c>
      <c r="R68" s="39">
        <v>4</v>
      </c>
      <c r="S68" s="15">
        <f t="shared" si="13"/>
        <v>4</v>
      </c>
      <c r="T68" s="15">
        <f t="shared" si="14"/>
        <v>120</v>
      </c>
      <c r="U68" s="4">
        <f t="shared" si="15"/>
        <v>4.5</v>
      </c>
      <c r="V68" s="3">
        <f t="shared" si="16"/>
        <v>135</v>
      </c>
      <c r="W68" s="10"/>
    </row>
    <row r="69" spans="1:28" ht="18" customHeight="1" x14ac:dyDescent="0.35">
      <c r="A69" s="8"/>
      <c r="B69" s="63"/>
      <c r="C69" s="13" t="s">
        <v>18</v>
      </c>
      <c r="D69" s="66"/>
      <c r="E69" s="66"/>
      <c r="F69" s="66"/>
      <c r="G69" s="66"/>
      <c r="H69" s="88"/>
      <c r="I69" s="15">
        <v>120</v>
      </c>
      <c r="J69" s="15">
        <v>45</v>
      </c>
      <c r="K69" s="3">
        <v>0.5</v>
      </c>
      <c r="L69" s="15">
        <f t="shared" si="9"/>
        <v>15</v>
      </c>
      <c r="M69" s="17">
        <v>1</v>
      </c>
      <c r="N69" s="15">
        <f t="shared" si="10"/>
        <v>0.5</v>
      </c>
      <c r="O69" s="15">
        <f t="shared" si="11"/>
        <v>15</v>
      </c>
      <c r="P69" s="3">
        <v>1</v>
      </c>
      <c r="Q69" s="15">
        <f t="shared" si="12"/>
        <v>30</v>
      </c>
      <c r="R69" s="39">
        <v>1</v>
      </c>
      <c r="S69" s="15">
        <f t="shared" si="13"/>
        <v>1</v>
      </c>
      <c r="T69" s="15">
        <f t="shared" si="14"/>
        <v>30</v>
      </c>
      <c r="U69" s="4">
        <f t="shared" si="15"/>
        <v>1.5</v>
      </c>
      <c r="V69" s="3">
        <f t="shared" si="16"/>
        <v>45</v>
      </c>
      <c r="W69" s="20"/>
    </row>
    <row r="70" spans="1:28" ht="18" customHeight="1" x14ac:dyDescent="0.3">
      <c r="A70" s="7"/>
      <c r="B70" s="62" t="s">
        <v>61</v>
      </c>
      <c r="C70" s="13" t="s">
        <v>17</v>
      </c>
      <c r="D70" s="64">
        <v>83</v>
      </c>
      <c r="E70" s="64">
        <v>6</v>
      </c>
      <c r="F70" s="64"/>
      <c r="G70" s="64" t="s">
        <v>25</v>
      </c>
      <c r="H70" s="64">
        <v>4</v>
      </c>
      <c r="I70" s="15">
        <v>120</v>
      </c>
      <c r="J70" s="15">
        <v>45</v>
      </c>
      <c r="K70" s="3">
        <v>0.5</v>
      </c>
      <c r="L70" s="15">
        <f t="shared" si="9"/>
        <v>15</v>
      </c>
      <c r="M70" s="17">
        <v>1</v>
      </c>
      <c r="N70" s="15">
        <f t="shared" si="10"/>
        <v>0.5</v>
      </c>
      <c r="O70" s="15">
        <f t="shared" si="11"/>
        <v>15</v>
      </c>
      <c r="P70" s="3">
        <v>1</v>
      </c>
      <c r="Q70" s="15">
        <f t="shared" si="12"/>
        <v>30</v>
      </c>
      <c r="R70" s="38">
        <v>5</v>
      </c>
      <c r="S70" s="15">
        <f t="shared" si="13"/>
        <v>5</v>
      </c>
      <c r="T70" s="15">
        <f t="shared" si="14"/>
        <v>150</v>
      </c>
      <c r="U70" s="4">
        <f t="shared" si="15"/>
        <v>5.5</v>
      </c>
      <c r="V70" s="3">
        <f t="shared" si="16"/>
        <v>165</v>
      </c>
      <c r="W70" s="19"/>
    </row>
    <row r="71" spans="1:28" ht="18" customHeight="1" x14ac:dyDescent="0.3">
      <c r="A71" s="7"/>
      <c r="B71" s="63"/>
      <c r="C71" s="13" t="s">
        <v>18</v>
      </c>
      <c r="D71" s="65"/>
      <c r="E71" s="65"/>
      <c r="F71" s="65"/>
      <c r="G71" s="65"/>
      <c r="H71" s="66"/>
      <c r="I71" s="15">
        <v>120</v>
      </c>
      <c r="J71" s="15">
        <v>45</v>
      </c>
      <c r="K71" s="3">
        <v>0.5</v>
      </c>
      <c r="L71" s="15">
        <f t="shared" si="9"/>
        <v>15</v>
      </c>
      <c r="M71" s="17">
        <v>1</v>
      </c>
      <c r="N71" s="15">
        <f t="shared" si="10"/>
        <v>0.5</v>
      </c>
      <c r="O71" s="15">
        <f t="shared" si="11"/>
        <v>15</v>
      </c>
      <c r="P71" s="3">
        <v>1</v>
      </c>
      <c r="Q71" s="15">
        <f t="shared" si="12"/>
        <v>30</v>
      </c>
      <c r="R71" s="38">
        <v>1</v>
      </c>
      <c r="S71" s="15">
        <f t="shared" si="13"/>
        <v>1</v>
      </c>
      <c r="T71" s="15">
        <f t="shared" si="14"/>
        <v>30</v>
      </c>
      <c r="U71" s="4">
        <f t="shared" si="15"/>
        <v>1.5</v>
      </c>
      <c r="V71" s="3">
        <f t="shared" si="16"/>
        <v>45</v>
      </c>
      <c r="W71" s="19"/>
    </row>
    <row r="72" spans="1:28" ht="18" customHeight="1" x14ac:dyDescent="0.3">
      <c r="A72" s="7"/>
      <c r="B72" s="62" t="s">
        <v>60</v>
      </c>
      <c r="C72" s="13" t="s">
        <v>17</v>
      </c>
      <c r="D72" s="65"/>
      <c r="E72" s="65"/>
      <c r="F72" s="65"/>
      <c r="G72" s="65"/>
      <c r="H72" s="64">
        <v>3</v>
      </c>
      <c r="I72" s="15">
        <v>90</v>
      </c>
      <c r="J72" s="15">
        <v>30</v>
      </c>
      <c r="K72" s="3">
        <v>0.5</v>
      </c>
      <c r="L72" s="15">
        <f t="shared" si="9"/>
        <v>15</v>
      </c>
      <c r="M72" s="17">
        <v>1</v>
      </c>
      <c r="N72" s="15">
        <f t="shared" si="10"/>
        <v>0.5</v>
      </c>
      <c r="O72" s="15">
        <f t="shared" si="11"/>
        <v>15</v>
      </c>
      <c r="P72" s="3">
        <v>0.5</v>
      </c>
      <c r="Q72" s="15">
        <f t="shared" si="12"/>
        <v>15</v>
      </c>
      <c r="R72" s="38">
        <v>5</v>
      </c>
      <c r="S72" s="15">
        <f t="shared" si="13"/>
        <v>2.5</v>
      </c>
      <c r="T72" s="15">
        <f t="shared" si="14"/>
        <v>75</v>
      </c>
      <c r="U72" s="4">
        <f t="shared" si="15"/>
        <v>3</v>
      </c>
      <c r="V72" s="3">
        <f t="shared" si="16"/>
        <v>90</v>
      </c>
      <c r="W72" s="19"/>
    </row>
    <row r="73" spans="1:28" ht="18" customHeight="1" x14ac:dyDescent="0.3">
      <c r="A73" s="7"/>
      <c r="B73" s="63"/>
      <c r="C73" s="13" t="s">
        <v>18</v>
      </c>
      <c r="D73" s="66"/>
      <c r="E73" s="66"/>
      <c r="F73" s="66"/>
      <c r="G73" s="66"/>
      <c r="H73" s="66"/>
      <c r="I73" s="15">
        <v>90</v>
      </c>
      <c r="J73" s="15">
        <v>30</v>
      </c>
      <c r="K73" s="3">
        <v>0.5</v>
      </c>
      <c r="L73" s="15">
        <f t="shared" si="9"/>
        <v>15</v>
      </c>
      <c r="M73" s="17">
        <v>1</v>
      </c>
      <c r="N73" s="15">
        <f t="shared" si="10"/>
        <v>0.5</v>
      </c>
      <c r="O73" s="15">
        <f t="shared" si="11"/>
        <v>15</v>
      </c>
      <c r="P73" s="3">
        <v>0.5</v>
      </c>
      <c r="Q73" s="15">
        <f t="shared" si="12"/>
        <v>15</v>
      </c>
      <c r="R73" s="38">
        <v>1</v>
      </c>
      <c r="S73" s="15">
        <f t="shared" si="13"/>
        <v>0.5</v>
      </c>
      <c r="T73" s="15">
        <f t="shared" si="14"/>
        <v>15</v>
      </c>
      <c r="U73" s="4">
        <f t="shared" si="15"/>
        <v>1</v>
      </c>
      <c r="V73" s="3">
        <f t="shared" si="16"/>
        <v>30</v>
      </c>
      <c r="W73" s="19"/>
    </row>
    <row r="74" spans="1:28" ht="18" customHeight="1" x14ac:dyDescent="0.3">
      <c r="A74" s="7"/>
      <c r="B74" s="62" t="s">
        <v>64</v>
      </c>
      <c r="C74" s="13" t="s">
        <v>17</v>
      </c>
      <c r="D74" s="64">
        <v>86</v>
      </c>
      <c r="E74" s="64">
        <v>4</v>
      </c>
      <c r="F74" s="64"/>
      <c r="G74" s="64" t="s">
        <v>26</v>
      </c>
      <c r="H74" s="64">
        <v>4</v>
      </c>
      <c r="I74" s="15">
        <v>120</v>
      </c>
      <c r="J74" s="15">
        <v>45</v>
      </c>
      <c r="K74" s="3">
        <v>0.5</v>
      </c>
      <c r="L74" s="15">
        <f t="shared" si="9"/>
        <v>15</v>
      </c>
      <c r="M74" s="17">
        <v>1</v>
      </c>
      <c r="N74" s="15">
        <f t="shared" si="10"/>
        <v>0.5</v>
      </c>
      <c r="O74" s="15">
        <f t="shared" si="11"/>
        <v>15</v>
      </c>
      <c r="P74" s="3">
        <v>1</v>
      </c>
      <c r="Q74" s="15">
        <f t="shared" si="12"/>
        <v>30</v>
      </c>
      <c r="R74" s="38">
        <v>5</v>
      </c>
      <c r="S74" s="15">
        <f t="shared" si="13"/>
        <v>5</v>
      </c>
      <c r="T74" s="15">
        <f t="shared" si="14"/>
        <v>150</v>
      </c>
      <c r="U74" s="4">
        <f t="shared" si="15"/>
        <v>5.5</v>
      </c>
      <c r="V74" s="3">
        <f t="shared" si="16"/>
        <v>165</v>
      </c>
      <c r="W74" s="19"/>
    </row>
    <row r="75" spans="1:28" ht="18" customHeight="1" x14ac:dyDescent="0.3">
      <c r="A75" s="7"/>
      <c r="B75" s="63"/>
      <c r="C75" s="13" t="s">
        <v>18</v>
      </c>
      <c r="D75" s="65"/>
      <c r="E75" s="65"/>
      <c r="F75" s="65"/>
      <c r="G75" s="65"/>
      <c r="H75" s="66"/>
      <c r="I75" s="15">
        <v>120</v>
      </c>
      <c r="J75" s="15">
        <v>45</v>
      </c>
      <c r="K75" s="3">
        <v>0.5</v>
      </c>
      <c r="L75" s="15">
        <f t="shared" si="9"/>
        <v>15</v>
      </c>
      <c r="M75" s="17">
        <v>1</v>
      </c>
      <c r="N75" s="15">
        <f t="shared" si="10"/>
        <v>0.5</v>
      </c>
      <c r="O75" s="15">
        <f t="shared" si="11"/>
        <v>15</v>
      </c>
      <c r="P75" s="3">
        <v>1</v>
      </c>
      <c r="Q75" s="15">
        <f t="shared" si="12"/>
        <v>30</v>
      </c>
      <c r="R75" s="38">
        <v>1</v>
      </c>
      <c r="S75" s="15">
        <f t="shared" si="13"/>
        <v>1</v>
      </c>
      <c r="T75" s="15">
        <f t="shared" si="14"/>
        <v>30</v>
      </c>
      <c r="U75" s="4">
        <f t="shared" si="15"/>
        <v>1.5</v>
      </c>
      <c r="V75" s="3">
        <f t="shared" si="16"/>
        <v>45</v>
      </c>
      <c r="W75" s="19"/>
    </row>
    <row r="76" spans="1:28" ht="18" customHeight="1" x14ac:dyDescent="0.3">
      <c r="A76" s="7"/>
      <c r="B76" s="62" t="s">
        <v>65</v>
      </c>
      <c r="C76" s="13" t="s">
        <v>17</v>
      </c>
      <c r="D76" s="65"/>
      <c r="E76" s="65"/>
      <c r="F76" s="65"/>
      <c r="G76" s="65"/>
      <c r="H76" s="64">
        <v>4</v>
      </c>
      <c r="I76" s="15">
        <v>120</v>
      </c>
      <c r="J76" s="15">
        <v>45</v>
      </c>
      <c r="K76" s="3">
        <v>0.5</v>
      </c>
      <c r="L76" s="15">
        <f t="shared" ref="L76:L108" si="17">K76*30</f>
        <v>15</v>
      </c>
      <c r="M76" s="17">
        <v>1</v>
      </c>
      <c r="N76" s="15">
        <f t="shared" ref="N76:N108" si="18">K76*M76</f>
        <v>0.5</v>
      </c>
      <c r="O76" s="15">
        <f t="shared" ref="O76:O108" si="19">L76*M76</f>
        <v>15</v>
      </c>
      <c r="P76" s="3">
        <v>1</v>
      </c>
      <c r="Q76" s="15">
        <f t="shared" ref="Q76:Q108" si="20">P76*30</f>
        <v>30</v>
      </c>
      <c r="R76" s="38">
        <v>5</v>
      </c>
      <c r="S76" s="15">
        <f t="shared" ref="S76:S108" si="21">P76*R76</f>
        <v>5</v>
      </c>
      <c r="T76" s="15">
        <f t="shared" ref="T76:T108" si="22">Q76*R76</f>
        <v>150</v>
      </c>
      <c r="U76" s="4">
        <f t="shared" ref="U76:U108" si="23">N76+S76</f>
        <v>5.5</v>
      </c>
      <c r="V76" s="3">
        <f t="shared" ref="V76:V108" si="24">O76+T76</f>
        <v>165</v>
      </c>
      <c r="W76" s="19"/>
    </row>
    <row r="77" spans="1:28" ht="18" customHeight="1" x14ac:dyDescent="0.3">
      <c r="A77" s="7"/>
      <c r="B77" s="63"/>
      <c r="C77" s="13" t="s">
        <v>18</v>
      </c>
      <c r="D77" s="66"/>
      <c r="E77" s="66"/>
      <c r="F77" s="66"/>
      <c r="G77" s="66"/>
      <c r="H77" s="66"/>
      <c r="I77" s="15">
        <v>120</v>
      </c>
      <c r="J77" s="15">
        <v>45</v>
      </c>
      <c r="K77" s="3">
        <v>0.5</v>
      </c>
      <c r="L77" s="15">
        <f t="shared" si="17"/>
        <v>15</v>
      </c>
      <c r="M77" s="17">
        <v>1</v>
      </c>
      <c r="N77" s="15">
        <f t="shared" si="18"/>
        <v>0.5</v>
      </c>
      <c r="O77" s="15">
        <f t="shared" si="19"/>
        <v>15</v>
      </c>
      <c r="P77" s="3">
        <v>1</v>
      </c>
      <c r="Q77" s="15">
        <f t="shared" si="20"/>
        <v>30</v>
      </c>
      <c r="R77" s="38">
        <v>1</v>
      </c>
      <c r="S77" s="15">
        <f t="shared" si="21"/>
        <v>1</v>
      </c>
      <c r="T77" s="15">
        <f t="shared" si="22"/>
        <v>30</v>
      </c>
      <c r="U77" s="4">
        <f t="shared" si="23"/>
        <v>1.5</v>
      </c>
      <c r="V77" s="3">
        <f t="shared" si="24"/>
        <v>45</v>
      </c>
      <c r="W77" s="19"/>
    </row>
    <row r="78" spans="1:28" ht="30" customHeight="1" x14ac:dyDescent="0.3">
      <c r="A78" s="7"/>
      <c r="B78" s="91" t="s">
        <v>84</v>
      </c>
      <c r="C78" s="13" t="s">
        <v>17</v>
      </c>
      <c r="D78" s="64">
        <v>45</v>
      </c>
      <c r="E78" s="64">
        <v>1</v>
      </c>
      <c r="F78" s="64"/>
      <c r="G78" s="64" t="s">
        <v>120</v>
      </c>
      <c r="H78" s="64">
        <v>3</v>
      </c>
      <c r="I78" s="15">
        <v>90</v>
      </c>
      <c r="J78" s="15">
        <v>30</v>
      </c>
      <c r="K78" s="3">
        <v>0.5</v>
      </c>
      <c r="L78" s="15">
        <f t="shared" si="17"/>
        <v>15</v>
      </c>
      <c r="M78" s="40">
        <v>0</v>
      </c>
      <c r="N78" s="15">
        <f t="shared" si="18"/>
        <v>0</v>
      </c>
      <c r="O78" s="15">
        <f t="shared" si="19"/>
        <v>0</v>
      </c>
      <c r="P78" s="3">
        <v>0.5</v>
      </c>
      <c r="Q78" s="15">
        <f t="shared" si="20"/>
        <v>15</v>
      </c>
      <c r="R78" s="17">
        <v>2</v>
      </c>
      <c r="S78" s="15">
        <f t="shared" si="21"/>
        <v>1</v>
      </c>
      <c r="T78" s="15">
        <f t="shared" si="22"/>
        <v>30</v>
      </c>
      <c r="U78" s="4">
        <f t="shared" si="23"/>
        <v>1</v>
      </c>
      <c r="V78" s="3">
        <f t="shared" si="24"/>
        <v>30</v>
      </c>
      <c r="W78" s="19"/>
    </row>
    <row r="79" spans="1:28" ht="27.6" customHeight="1" x14ac:dyDescent="0.3">
      <c r="A79" s="7"/>
      <c r="B79" s="92"/>
      <c r="C79" s="13" t="s">
        <v>18</v>
      </c>
      <c r="D79" s="65"/>
      <c r="E79" s="65"/>
      <c r="F79" s="65"/>
      <c r="G79" s="65"/>
      <c r="H79" s="66"/>
      <c r="I79" s="15">
        <v>90</v>
      </c>
      <c r="J79" s="15">
        <v>30</v>
      </c>
      <c r="K79" s="3">
        <v>0.5</v>
      </c>
      <c r="L79" s="15">
        <f t="shared" si="17"/>
        <v>15</v>
      </c>
      <c r="M79" s="40">
        <v>0</v>
      </c>
      <c r="N79" s="15">
        <f t="shared" si="18"/>
        <v>0</v>
      </c>
      <c r="O79" s="15">
        <f t="shared" si="19"/>
        <v>0</v>
      </c>
      <c r="P79" s="3">
        <v>0.5</v>
      </c>
      <c r="Q79" s="15">
        <f t="shared" si="20"/>
        <v>15</v>
      </c>
      <c r="R79" s="17">
        <v>1</v>
      </c>
      <c r="S79" s="15">
        <f t="shared" si="21"/>
        <v>0.5</v>
      </c>
      <c r="T79" s="15">
        <f t="shared" si="22"/>
        <v>15</v>
      </c>
      <c r="U79" s="30">
        <v>0</v>
      </c>
      <c r="V79" s="28">
        <v>0</v>
      </c>
      <c r="W79" s="19"/>
    </row>
    <row r="80" spans="1:28" ht="18" customHeight="1" x14ac:dyDescent="0.3">
      <c r="A80" s="7"/>
      <c r="B80" s="62" t="s">
        <v>94</v>
      </c>
      <c r="C80" s="13" t="s">
        <v>17</v>
      </c>
      <c r="D80" s="65"/>
      <c r="E80" s="65"/>
      <c r="F80" s="65"/>
      <c r="G80" s="65"/>
      <c r="H80" s="64">
        <v>4</v>
      </c>
      <c r="I80" s="15">
        <v>120</v>
      </c>
      <c r="J80" s="15">
        <v>45</v>
      </c>
      <c r="K80" s="3">
        <v>0.5</v>
      </c>
      <c r="L80" s="15">
        <f t="shared" si="17"/>
        <v>15</v>
      </c>
      <c r="M80" s="17">
        <v>1</v>
      </c>
      <c r="N80" s="15">
        <f t="shared" si="18"/>
        <v>0.5</v>
      </c>
      <c r="O80" s="15">
        <f t="shared" si="19"/>
        <v>15</v>
      </c>
      <c r="P80" s="3">
        <v>1</v>
      </c>
      <c r="Q80" s="15">
        <f t="shared" si="20"/>
        <v>30</v>
      </c>
      <c r="R80" s="17">
        <v>2</v>
      </c>
      <c r="S80" s="15">
        <f t="shared" si="21"/>
        <v>2</v>
      </c>
      <c r="T80" s="15">
        <f t="shared" si="22"/>
        <v>60</v>
      </c>
      <c r="U80" s="4">
        <f t="shared" si="23"/>
        <v>2.5</v>
      </c>
      <c r="V80" s="3">
        <f t="shared" si="24"/>
        <v>75</v>
      </c>
      <c r="W80" s="19"/>
    </row>
    <row r="81" spans="1:23" ht="18" customHeight="1" x14ac:dyDescent="0.3">
      <c r="A81" s="7"/>
      <c r="B81" s="63"/>
      <c r="C81" s="13" t="s">
        <v>18</v>
      </c>
      <c r="D81" s="65"/>
      <c r="E81" s="65"/>
      <c r="F81" s="65"/>
      <c r="G81" s="65"/>
      <c r="H81" s="66"/>
      <c r="I81" s="15">
        <v>120</v>
      </c>
      <c r="J81" s="15">
        <v>45</v>
      </c>
      <c r="K81" s="3">
        <v>0.5</v>
      </c>
      <c r="L81" s="15">
        <f t="shared" si="17"/>
        <v>15</v>
      </c>
      <c r="M81" s="17">
        <v>1</v>
      </c>
      <c r="N81" s="15">
        <f t="shared" si="18"/>
        <v>0.5</v>
      </c>
      <c r="O81" s="15">
        <f t="shared" si="19"/>
        <v>15</v>
      </c>
      <c r="P81" s="3">
        <v>1</v>
      </c>
      <c r="Q81" s="15">
        <f t="shared" si="20"/>
        <v>30</v>
      </c>
      <c r="R81" s="17">
        <v>1</v>
      </c>
      <c r="S81" s="15">
        <f t="shared" si="21"/>
        <v>1</v>
      </c>
      <c r="T81" s="15">
        <f t="shared" si="22"/>
        <v>30</v>
      </c>
      <c r="U81" s="30">
        <v>0</v>
      </c>
      <c r="V81" s="28">
        <v>0</v>
      </c>
      <c r="W81" s="19"/>
    </row>
    <row r="82" spans="1:23" ht="18" customHeight="1" x14ac:dyDescent="0.3">
      <c r="A82" s="7"/>
      <c r="B82" s="62" t="s">
        <v>119</v>
      </c>
      <c r="C82" s="13" t="s">
        <v>17</v>
      </c>
      <c r="D82" s="65"/>
      <c r="E82" s="65"/>
      <c r="F82" s="65"/>
      <c r="G82" s="65"/>
      <c r="H82" s="64">
        <v>3</v>
      </c>
      <c r="I82" s="15">
        <v>90</v>
      </c>
      <c r="J82" s="15">
        <v>30</v>
      </c>
      <c r="K82" s="3">
        <v>0.5</v>
      </c>
      <c r="L82" s="15">
        <f t="shared" si="17"/>
        <v>15</v>
      </c>
      <c r="M82" s="17">
        <v>1</v>
      </c>
      <c r="N82" s="15">
        <f t="shared" si="18"/>
        <v>0.5</v>
      </c>
      <c r="O82" s="15">
        <f t="shared" si="19"/>
        <v>15</v>
      </c>
      <c r="P82" s="3">
        <v>0.5</v>
      </c>
      <c r="Q82" s="15">
        <f t="shared" si="20"/>
        <v>15</v>
      </c>
      <c r="R82" s="17">
        <v>2</v>
      </c>
      <c r="S82" s="15">
        <f t="shared" si="21"/>
        <v>1</v>
      </c>
      <c r="T82" s="15">
        <f t="shared" si="22"/>
        <v>30</v>
      </c>
      <c r="U82" s="4">
        <f t="shared" si="23"/>
        <v>1.5</v>
      </c>
      <c r="V82" s="3">
        <f t="shared" si="24"/>
        <v>45</v>
      </c>
      <c r="W82" s="19"/>
    </row>
    <row r="83" spans="1:23" ht="18" customHeight="1" x14ac:dyDescent="0.3">
      <c r="A83" s="7"/>
      <c r="B83" s="63"/>
      <c r="C83" s="13" t="s">
        <v>18</v>
      </c>
      <c r="D83" s="66"/>
      <c r="E83" s="66"/>
      <c r="F83" s="66"/>
      <c r="G83" s="66"/>
      <c r="H83" s="66"/>
      <c r="I83" s="15">
        <v>90</v>
      </c>
      <c r="J83" s="15">
        <v>30</v>
      </c>
      <c r="K83" s="3">
        <v>0.5</v>
      </c>
      <c r="L83" s="15">
        <f t="shared" si="17"/>
        <v>15</v>
      </c>
      <c r="M83" s="17">
        <v>1</v>
      </c>
      <c r="N83" s="15">
        <f t="shared" si="18"/>
        <v>0.5</v>
      </c>
      <c r="O83" s="15">
        <f t="shared" si="19"/>
        <v>15</v>
      </c>
      <c r="P83" s="3">
        <v>0.5</v>
      </c>
      <c r="Q83" s="15">
        <f t="shared" si="20"/>
        <v>15</v>
      </c>
      <c r="R83" s="17">
        <v>1</v>
      </c>
      <c r="S83" s="15">
        <f t="shared" si="21"/>
        <v>0.5</v>
      </c>
      <c r="T83" s="15">
        <f t="shared" si="22"/>
        <v>15</v>
      </c>
      <c r="U83" s="30">
        <v>0</v>
      </c>
      <c r="V83" s="28">
        <v>0</v>
      </c>
      <c r="W83" s="19"/>
    </row>
    <row r="84" spans="1:23" ht="34.950000000000003" customHeight="1" x14ac:dyDescent="0.3">
      <c r="A84" s="7"/>
      <c r="B84" s="14" t="s">
        <v>67</v>
      </c>
      <c r="C84" s="64" t="s">
        <v>17</v>
      </c>
      <c r="D84" s="64">
        <v>48</v>
      </c>
      <c r="E84" s="64"/>
      <c r="F84" s="64"/>
      <c r="G84" s="64" t="s">
        <v>28</v>
      </c>
      <c r="H84" s="12">
        <v>4</v>
      </c>
      <c r="I84" s="15">
        <v>120</v>
      </c>
      <c r="J84" s="15">
        <v>45</v>
      </c>
      <c r="K84" s="3">
        <v>0.5</v>
      </c>
      <c r="L84" s="15">
        <f t="shared" si="17"/>
        <v>15</v>
      </c>
      <c r="M84" s="17">
        <v>1</v>
      </c>
      <c r="N84" s="15">
        <f t="shared" si="18"/>
        <v>0.5</v>
      </c>
      <c r="O84" s="15">
        <f t="shared" si="19"/>
        <v>15</v>
      </c>
      <c r="P84" s="3">
        <v>1</v>
      </c>
      <c r="Q84" s="15">
        <f t="shared" si="20"/>
        <v>30</v>
      </c>
      <c r="R84" s="17">
        <v>2</v>
      </c>
      <c r="S84" s="15">
        <f t="shared" si="21"/>
        <v>2</v>
      </c>
      <c r="T84" s="15">
        <f t="shared" si="22"/>
        <v>60</v>
      </c>
      <c r="U84" s="4">
        <f t="shared" si="23"/>
        <v>2.5</v>
      </c>
      <c r="V84" s="3">
        <f t="shared" si="24"/>
        <v>75</v>
      </c>
      <c r="W84" s="19"/>
    </row>
    <row r="85" spans="1:23" ht="18" customHeight="1" x14ac:dyDescent="0.3">
      <c r="A85" s="7"/>
      <c r="B85" s="14" t="s">
        <v>68</v>
      </c>
      <c r="C85" s="66"/>
      <c r="D85" s="65"/>
      <c r="E85" s="65"/>
      <c r="F85" s="65"/>
      <c r="G85" s="65"/>
      <c r="H85" s="12">
        <v>4</v>
      </c>
      <c r="I85" s="15">
        <v>120</v>
      </c>
      <c r="J85" s="15">
        <v>45</v>
      </c>
      <c r="K85" s="3">
        <v>0.5</v>
      </c>
      <c r="L85" s="15">
        <f t="shared" si="17"/>
        <v>15</v>
      </c>
      <c r="M85" s="17">
        <v>1</v>
      </c>
      <c r="N85" s="15">
        <f t="shared" si="18"/>
        <v>0.5</v>
      </c>
      <c r="O85" s="15">
        <f t="shared" si="19"/>
        <v>15</v>
      </c>
      <c r="P85" s="3">
        <v>1</v>
      </c>
      <c r="Q85" s="15">
        <f t="shared" si="20"/>
        <v>30</v>
      </c>
      <c r="R85" s="17">
        <v>2</v>
      </c>
      <c r="S85" s="15">
        <f t="shared" si="21"/>
        <v>2</v>
      </c>
      <c r="T85" s="15">
        <f t="shared" si="22"/>
        <v>60</v>
      </c>
      <c r="U85" s="4">
        <f t="shared" si="23"/>
        <v>2.5</v>
      </c>
      <c r="V85" s="3">
        <f t="shared" si="24"/>
        <v>75</v>
      </c>
      <c r="W85" s="19"/>
    </row>
    <row r="86" spans="1:23" ht="36" customHeight="1" x14ac:dyDescent="0.3">
      <c r="B86" s="14" t="s">
        <v>121</v>
      </c>
      <c r="C86" s="64" t="s">
        <v>18</v>
      </c>
      <c r="D86" s="64"/>
      <c r="E86" s="64">
        <v>76</v>
      </c>
      <c r="F86" s="64"/>
      <c r="G86" s="64" t="s">
        <v>122</v>
      </c>
      <c r="H86" s="12">
        <v>3</v>
      </c>
      <c r="I86" s="15">
        <v>90</v>
      </c>
      <c r="J86" s="15">
        <v>30</v>
      </c>
      <c r="K86" s="3">
        <v>0.5</v>
      </c>
      <c r="L86" s="15">
        <f t="shared" si="17"/>
        <v>15</v>
      </c>
      <c r="M86" s="17">
        <v>1</v>
      </c>
      <c r="N86" s="15">
        <f t="shared" si="18"/>
        <v>0.5</v>
      </c>
      <c r="O86" s="15">
        <f t="shared" si="19"/>
        <v>15</v>
      </c>
      <c r="P86" s="3">
        <v>0.5</v>
      </c>
      <c r="Q86" s="15">
        <f t="shared" si="20"/>
        <v>15</v>
      </c>
      <c r="R86" s="17">
        <v>3</v>
      </c>
      <c r="S86" s="15">
        <f t="shared" si="21"/>
        <v>1.5</v>
      </c>
      <c r="T86" s="15">
        <f t="shared" si="22"/>
        <v>45</v>
      </c>
      <c r="U86" s="4">
        <f t="shared" si="23"/>
        <v>2</v>
      </c>
      <c r="V86" s="3">
        <f t="shared" si="24"/>
        <v>60</v>
      </c>
      <c r="W86" s="19"/>
    </row>
    <row r="87" spans="1:23" ht="18" customHeight="1" x14ac:dyDescent="0.3">
      <c r="B87" s="14" t="s">
        <v>99</v>
      </c>
      <c r="C87" s="65"/>
      <c r="D87" s="65"/>
      <c r="E87" s="65"/>
      <c r="F87" s="65"/>
      <c r="G87" s="65"/>
      <c r="H87" s="12">
        <v>4</v>
      </c>
      <c r="I87" s="15">
        <v>120</v>
      </c>
      <c r="J87" s="15">
        <v>45</v>
      </c>
      <c r="K87" s="3">
        <v>0.5</v>
      </c>
      <c r="L87" s="15">
        <f t="shared" si="17"/>
        <v>15</v>
      </c>
      <c r="M87" s="17">
        <v>1</v>
      </c>
      <c r="N87" s="15">
        <f t="shared" si="18"/>
        <v>0.5</v>
      </c>
      <c r="O87" s="15">
        <f t="shared" si="19"/>
        <v>15</v>
      </c>
      <c r="P87" s="3">
        <v>1</v>
      </c>
      <c r="Q87" s="15">
        <f t="shared" si="20"/>
        <v>30</v>
      </c>
      <c r="R87" s="17">
        <v>3</v>
      </c>
      <c r="S87" s="15">
        <f t="shared" si="21"/>
        <v>3</v>
      </c>
      <c r="T87" s="15">
        <f t="shared" si="22"/>
        <v>90</v>
      </c>
      <c r="U87" s="4">
        <f t="shared" si="23"/>
        <v>3.5</v>
      </c>
      <c r="V87" s="3">
        <f t="shared" si="24"/>
        <v>105</v>
      </c>
      <c r="W87" s="19"/>
    </row>
    <row r="88" spans="1:23" ht="36" customHeight="1" x14ac:dyDescent="0.3">
      <c r="B88" s="14" t="s">
        <v>100</v>
      </c>
      <c r="C88" s="65"/>
      <c r="D88" s="65"/>
      <c r="E88" s="65"/>
      <c r="F88" s="65"/>
      <c r="G88" s="65"/>
      <c r="H88" s="12">
        <v>4</v>
      </c>
      <c r="I88" s="15">
        <v>120</v>
      </c>
      <c r="J88" s="15">
        <v>45</v>
      </c>
      <c r="K88" s="3">
        <v>0.5</v>
      </c>
      <c r="L88" s="15">
        <f t="shared" si="17"/>
        <v>15</v>
      </c>
      <c r="M88" s="17">
        <v>1</v>
      </c>
      <c r="N88" s="15">
        <f t="shared" si="18"/>
        <v>0.5</v>
      </c>
      <c r="O88" s="15">
        <f t="shared" si="19"/>
        <v>15</v>
      </c>
      <c r="P88" s="3">
        <v>1</v>
      </c>
      <c r="Q88" s="15">
        <f t="shared" si="20"/>
        <v>30</v>
      </c>
      <c r="R88" s="17">
        <v>3</v>
      </c>
      <c r="S88" s="15">
        <f t="shared" si="21"/>
        <v>3</v>
      </c>
      <c r="T88" s="15">
        <f t="shared" si="22"/>
        <v>90</v>
      </c>
      <c r="U88" s="4">
        <f t="shared" si="23"/>
        <v>3.5</v>
      </c>
      <c r="V88" s="3">
        <f t="shared" si="24"/>
        <v>105</v>
      </c>
      <c r="W88" s="19"/>
    </row>
    <row r="89" spans="1:23" ht="90" customHeight="1" x14ac:dyDescent="0.35">
      <c r="A89" s="8"/>
      <c r="B89" s="14" t="s">
        <v>101</v>
      </c>
      <c r="C89" s="66"/>
      <c r="D89" s="66"/>
      <c r="E89" s="66"/>
      <c r="F89" s="66"/>
      <c r="G89" s="66"/>
      <c r="H89" s="16">
        <v>5</v>
      </c>
      <c r="I89" s="15">
        <v>150</v>
      </c>
      <c r="J89" s="15">
        <v>45</v>
      </c>
      <c r="K89" s="3">
        <v>0.5</v>
      </c>
      <c r="L89" s="15">
        <f t="shared" si="17"/>
        <v>15</v>
      </c>
      <c r="M89" s="17">
        <v>1</v>
      </c>
      <c r="N89" s="15">
        <f t="shared" si="18"/>
        <v>0.5</v>
      </c>
      <c r="O89" s="15">
        <f t="shared" si="19"/>
        <v>15</v>
      </c>
      <c r="P89" s="3">
        <v>1</v>
      </c>
      <c r="Q89" s="15">
        <f t="shared" si="20"/>
        <v>30</v>
      </c>
      <c r="R89" s="17">
        <v>3</v>
      </c>
      <c r="S89" s="15">
        <f t="shared" si="21"/>
        <v>3</v>
      </c>
      <c r="T89" s="15">
        <f t="shared" si="22"/>
        <v>90</v>
      </c>
      <c r="U89" s="4">
        <f t="shared" si="23"/>
        <v>3.5</v>
      </c>
      <c r="V89" s="3">
        <f t="shared" si="24"/>
        <v>105</v>
      </c>
      <c r="W89" s="10"/>
    </row>
    <row r="90" spans="1:23" ht="18" customHeight="1" x14ac:dyDescent="0.35">
      <c r="A90" s="8"/>
      <c r="B90" s="14" t="s">
        <v>124</v>
      </c>
      <c r="C90" s="64" t="s">
        <v>206</v>
      </c>
      <c r="D90" s="64">
        <v>27</v>
      </c>
      <c r="E90" s="64">
        <v>12</v>
      </c>
      <c r="F90" s="64"/>
      <c r="G90" s="64" t="s">
        <v>128</v>
      </c>
      <c r="H90" s="16">
        <v>10</v>
      </c>
      <c r="I90" s="15">
        <v>300</v>
      </c>
      <c r="J90" s="15">
        <v>90</v>
      </c>
      <c r="K90" s="3">
        <v>0</v>
      </c>
      <c r="L90" s="15">
        <f t="shared" si="17"/>
        <v>0</v>
      </c>
      <c r="M90" s="9">
        <v>0</v>
      </c>
      <c r="N90" s="15">
        <f t="shared" si="18"/>
        <v>0</v>
      </c>
      <c r="O90" s="15">
        <f t="shared" si="19"/>
        <v>0</v>
      </c>
      <c r="P90" s="3">
        <v>3</v>
      </c>
      <c r="Q90" s="15">
        <f t="shared" si="20"/>
        <v>90</v>
      </c>
      <c r="R90" s="38">
        <v>3</v>
      </c>
      <c r="S90" s="15">
        <f t="shared" si="21"/>
        <v>9</v>
      </c>
      <c r="T90" s="15">
        <f t="shared" si="22"/>
        <v>270</v>
      </c>
      <c r="U90" s="4">
        <f t="shared" si="23"/>
        <v>9</v>
      </c>
      <c r="V90" s="3">
        <f t="shared" si="24"/>
        <v>270</v>
      </c>
      <c r="W90" s="10"/>
    </row>
    <row r="91" spans="1:23" ht="18" customHeight="1" x14ac:dyDescent="0.3">
      <c r="A91" s="7"/>
      <c r="B91" s="14" t="s">
        <v>125</v>
      </c>
      <c r="C91" s="65"/>
      <c r="D91" s="65"/>
      <c r="E91" s="65"/>
      <c r="F91" s="65"/>
      <c r="G91" s="65"/>
      <c r="H91" s="12">
        <v>3</v>
      </c>
      <c r="I91" s="15">
        <v>90</v>
      </c>
      <c r="J91" s="15">
        <v>30</v>
      </c>
      <c r="K91" s="3">
        <v>0.5</v>
      </c>
      <c r="L91" s="15">
        <f t="shared" si="17"/>
        <v>15</v>
      </c>
      <c r="M91" s="17">
        <v>1</v>
      </c>
      <c r="N91" s="15">
        <f t="shared" si="18"/>
        <v>0.5</v>
      </c>
      <c r="O91" s="15">
        <f t="shared" si="19"/>
        <v>15</v>
      </c>
      <c r="P91" s="3">
        <v>0.5</v>
      </c>
      <c r="Q91" s="15">
        <f t="shared" si="20"/>
        <v>15</v>
      </c>
      <c r="R91" s="38">
        <v>3</v>
      </c>
      <c r="S91" s="15">
        <f t="shared" si="21"/>
        <v>1.5</v>
      </c>
      <c r="T91" s="15">
        <f t="shared" si="22"/>
        <v>45</v>
      </c>
      <c r="U91" s="4">
        <f t="shared" si="23"/>
        <v>2</v>
      </c>
      <c r="V91" s="3">
        <f t="shared" si="24"/>
        <v>60</v>
      </c>
      <c r="W91" s="19"/>
    </row>
    <row r="92" spans="1:23" ht="18" customHeight="1" x14ac:dyDescent="0.3">
      <c r="A92" s="7"/>
      <c r="B92" s="14" t="s">
        <v>126</v>
      </c>
      <c r="C92" s="65"/>
      <c r="D92" s="65"/>
      <c r="E92" s="65"/>
      <c r="F92" s="65"/>
      <c r="G92" s="65"/>
      <c r="H92" s="12">
        <v>3</v>
      </c>
      <c r="I92" s="15">
        <v>90</v>
      </c>
      <c r="J92" s="15">
        <v>30</v>
      </c>
      <c r="K92" s="3">
        <v>0</v>
      </c>
      <c r="L92" s="15">
        <f t="shared" si="17"/>
        <v>0</v>
      </c>
      <c r="M92" s="17">
        <v>0</v>
      </c>
      <c r="N92" s="15">
        <f t="shared" si="18"/>
        <v>0</v>
      </c>
      <c r="O92" s="15">
        <f t="shared" si="19"/>
        <v>0</v>
      </c>
      <c r="P92" s="3">
        <v>1</v>
      </c>
      <c r="Q92" s="15">
        <f t="shared" si="20"/>
        <v>30</v>
      </c>
      <c r="R92" s="38">
        <v>3</v>
      </c>
      <c r="S92" s="15">
        <f t="shared" si="21"/>
        <v>3</v>
      </c>
      <c r="T92" s="15">
        <f t="shared" si="22"/>
        <v>90</v>
      </c>
      <c r="U92" s="4">
        <f t="shared" si="23"/>
        <v>3</v>
      </c>
      <c r="V92" s="3">
        <f t="shared" si="24"/>
        <v>90</v>
      </c>
      <c r="W92" s="19"/>
    </row>
    <row r="93" spans="1:23" ht="62.25" customHeight="1" x14ac:dyDescent="0.3">
      <c r="A93" s="7"/>
      <c r="B93" s="14" t="s">
        <v>127</v>
      </c>
      <c r="C93" s="66"/>
      <c r="D93" s="65"/>
      <c r="E93" s="65"/>
      <c r="F93" s="65"/>
      <c r="G93" s="65"/>
      <c r="H93" s="12">
        <v>8</v>
      </c>
      <c r="I93" s="15">
        <v>240</v>
      </c>
      <c r="J93" s="15">
        <v>75</v>
      </c>
      <c r="K93" s="3">
        <v>1</v>
      </c>
      <c r="L93" s="15">
        <f t="shared" si="17"/>
        <v>30</v>
      </c>
      <c r="M93" s="17">
        <v>1</v>
      </c>
      <c r="N93" s="15">
        <f t="shared" si="18"/>
        <v>1</v>
      </c>
      <c r="O93" s="15">
        <f t="shared" si="19"/>
        <v>30</v>
      </c>
      <c r="P93" s="3">
        <v>1.5</v>
      </c>
      <c r="Q93" s="15">
        <f t="shared" si="20"/>
        <v>45</v>
      </c>
      <c r="R93" s="38">
        <v>3</v>
      </c>
      <c r="S93" s="15">
        <f t="shared" si="21"/>
        <v>4.5</v>
      </c>
      <c r="T93" s="15">
        <f t="shared" si="22"/>
        <v>135</v>
      </c>
      <c r="U93" s="4">
        <f t="shared" si="23"/>
        <v>5.5</v>
      </c>
      <c r="V93" s="3">
        <f t="shared" si="24"/>
        <v>165</v>
      </c>
      <c r="W93" s="19"/>
    </row>
    <row r="94" spans="1:23" ht="34.5" customHeight="1" x14ac:dyDescent="0.3">
      <c r="A94" s="7"/>
      <c r="B94" s="14" t="s">
        <v>133</v>
      </c>
      <c r="C94" s="13" t="s">
        <v>206</v>
      </c>
      <c r="D94" s="64">
        <v>36</v>
      </c>
      <c r="E94" s="64">
        <v>3</v>
      </c>
      <c r="F94" s="64"/>
      <c r="G94" s="64" t="s">
        <v>134</v>
      </c>
      <c r="H94" s="12">
        <v>6</v>
      </c>
      <c r="I94" s="15">
        <v>180</v>
      </c>
      <c r="J94" s="15">
        <v>60</v>
      </c>
      <c r="K94" s="3">
        <v>0</v>
      </c>
      <c r="L94" s="15">
        <f t="shared" si="17"/>
        <v>0</v>
      </c>
      <c r="M94" s="17">
        <v>0</v>
      </c>
      <c r="N94" s="15">
        <f t="shared" si="18"/>
        <v>0</v>
      </c>
      <c r="O94" s="15">
        <f t="shared" si="19"/>
        <v>0</v>
      </c>
      <c r="P94" s="3">
        <v>2</v>
      </c>
      <c r="Q94" s="15">
        <f t="shared" si="20"/>
        <v>60</v>
      </c>
      <c r="R94" s="17">
        <v>2</v>
      </c>
      <c r="S94" s="15">
        <f t="shared" si="21"/>
        <v>4</v>
      </c>
      <c r="T94" s="15">
        <f t="shared" si="22"/>
        <v>120</v>
      </c>
      <c r="U94" s="4">
        <f t="shared" si="23"/>
        <v>4</v>
      </c>
      <c r="V94" s="3">
        <f t="shared" si="24"/>
        <v>120</v>
      </c>
      <c r="W94" s="19"/>
    </row>
    <row r="95" spans="1:23" ht="18" customHeight="1" x14ac:dyDescent="0.3">
      <c r="A95" s="7"/>
      <c r="B95" s="62" t="s">
        <v>83</v>
      </c>
      <c r="C95" s="13" t="s">
        <v>17</v>
      </c>
      <c r="D95" s="65"/>
      <c r="E95" s="65"/>
      <c r="F95" s="65"/>
      <c r="G95" s="65"/>
      <c r="H95" s="64">
        <v>4</v>
      </c>
      <c r="I95" s="15">
        <v>120</v>
      </c>
      <c r="J95" s="15">
        <v>45</v>
      </c>
      <c r="K95" s="3">
        <v>0.5</v>
      </c>
      <c r="L95" s="15">
        <f t="shared" si="17"/>
        <v>15</v>
      </c>
      <c r="M95" s="17">
        <v>1</v>
      </c>
      <c r="N95" s="15">
        <f t="shared" si="18"/>
        <v>0.5</v>
      </c>
      <c r="O95" s="15">
        <f t="shared" si="19"/>
        <v>15</v>
      </c>
      <c r="P95" s="3">
        <v>1</v>
      </c>
      <c r="Q95" s="15">
        <f t="shared" si="20"/>
        <v>30</v>
      </c>
      <c r="R95" s="17">
        <v>2</v>
      </c>
      <c r="S95" s="15">
        <f t="shared" si="21"/>
        <v>2</v>
      </c>
      <c r="T95" s="15">
        <f t="shared" si="22"/>
        <v>60</v>
      </c>
      <c r="U95" s="4">
        <f t="shared" si="23"/>
        <v>2.5</v>
      </c>
      <c r="V95" s="3">
        <f t="shared" si="24"/>
        <v>75</v>
      </c>
      <c r="W95" s="19"/>
    </row>
    <row r="96" spans="1:23" ht="18" customHeight="1" x14ac:dyDescent="0.3">
      <c r="A96" s="7"/>
      <c r="B96" s="63"/>
      <c r="C96" s="13" t="s">
        <v>18</v>
      </c>
      <c r="D96" s="65"/>
      <c r="E96" s="65"/>
      <c r="F96" s="65"/>
      <c r="G96" s="65"/>
      <c r="H96" s="66"/>
      <c r="I96" s="15">
        <v>120</v>
      </c>
      <c r="J96" s="15">
        <v>45</v>
      </c>
      <c r="K96" s="3">
        <v>0.5</v>
      </c>
      <c r="L96" s="15">
        <f t="shared" si="17"/>
        <v>15</v>
      </c>
      <c r="M96" s="17">
        <v>1</v>
      </c>
      <c r="N96" s="15">
        <f t="shared" si="18"/>
        <v>0.5</v>
      </c>
      <c r="O96" s="15">
        <f t="shared" si="19"/>
        <v>15</v>
      </c>
      <c r="P96" s="3">
        <v>1</v>
      </c>
      <c r="Q96" s="15">
        <f t="shared" si="20"/>
        <v>30</v>
      </c>
      <c r="R96" s="17">
        <v>1</v>
      </c>
      <c r="S96" s="15">
        <f t="shared" si="21"/>
        <v>1</v>
      </c>
      <c r="T96" s="15">
        <f t="shared" si="22"/>
        <v>30</v>
      </c>
      <c r="U96" s="4">
        <f t="shared" si="23"/>
        <v>1.5</v>
      </c>
      <c r="V96" s="3">
        <f t="shared" si="24"/>
        <v>45</v>
      </c>
      <c r="W96" s="19"/>
    </row>
    <row r="97" spans="1:25" ht="27.6" customHeight="1" x14ac:dyDescent="0.3">
      <c r="A97" s="7"/>
      <c r="B97" s="62" t="s">
        <v>84</v>
      </c>
      <c r="C97" s="13" t="s">
        <v>17</v>
      </c>
      <c r="D97" s="65"/>
      <c r="E97" s="65"/>
      <c r="F97" s="65"/>
      <c r="G97" s="65"/>
      <c r="H97" s="64">
        <v>4</v>
      </c>
      <c r="I97" s="15">
        <v>120</v>
      </c>
      <c r="J97" s="15">
        <v>45</v>
      </c>
      <c r="K97" s="3">
        <v>0.5</v>
      </c>
      <c r="L97" s="15">
        <f t="shared" si="17"/>
        <v>15</v>
      </c>
      <c r="M97" s="17">
        <v>1</v>
      </c>
      <c r="N97" s="15">
        <f t="shared" si="18"/>
        <v>0.5</v>
      </c>
      <c r="O97" s="15">
        <f t="shared" si="19"/>
        <v>15</v>
      </c>
      <c r="P97" s="3">
        <v>1</v>
      </c>
      <c r="Q97" s="15">
        <f t="shared" si="20"/>
        <v>30</v>
      </c>
      <c r="R97" s="17">
        <v>2</v>
      </c>
      <c r="S97" s="15">
        <f t="shared" si="21"/>
        <v>2</v>
      </c>
      <c r="T97" s="15">
        <f t="shared" si="22"/>
        <v>60</v>
      </c>
      <c r="U97" s="4">
        <f t="shared" si="23"/>
        <v>2.5</v>
      </c>
      <c r="V97" s="3">
        <f t="shared" si="24"/>
        <v>75</v>
      </c>
      <c r="W97" s="19"/>
    </row>
    <row r="98" spans="1:25" ht="27.6" customHeight="1" x14ac:dyDescent="0.3">
      <c r="A98" s="7"/>
      <c r="B98" s="63"/>
      <c r="C98" s="13" t="s">
        <v>18</v>
      </c>
      <c r="D98" s="65"/>
      <c r="E98" s="65"/>
      <c r="F98" s="65"/>
      <c r="G98" s="65"/>
      <c r="H98" s="66"/>
      <c r="I98" s="15">
        <v>120</v>
      </c>
      <c r="J98" s="15">
        <v>45</v>
      </c>
      <c r="K98" s="3">
        <v>0.5</v>
      </c>
      <c r="L98" s="15">
        <f t="shared" si="17"/>
        <v>15</v>
      </c>
      <c r="M98" s="17">
        <v>1</v>
      </c>
      <c r="N98" s="15">
        <f t="shared" si="18"/>
        <v>0.5</v>
      </c>
      <c r="O98" s="15">
        <f t="shared" si="19"/>
        <v>15</v>
      </c>
      <c r="P98" s="3">
        <v>1</v>
      </c>
      <c r="Q98" s="15">
        <f t="shared" si="20"/>
        <v>30</v>
      </c>
      <c r="R98" s="17">
        <v>1</v>
      </c>
      <c r="S98" s="15">
        <f t="shared" si="21"/>
        <v>1</v>
      </c>
      <c r="T98" s="15">
        <f t="shared" si="22"/>
        <v>30</v>
      </c>
      <c r="U98" s="4">
        <f t="shared" si="23"/>
        <v>1.5</v>
      </c>
      <c r="V98" s="3">
        <f t="shared" si="24"/>
        <v>45</v>
      </c>
      <c r="W98" s="19"/>
    </row>
    <row r="99" spans="1:25" ht="18" customHeight="1" x14ac:dyDescent="0.3">
      <c r="B99" s="62" t="s">
        <v>77</v>
      </c>
      <c r="C99" s="13" t="s">
        <v>17</v>
      </c>
      <c r="D99" s="65"/>
      <c r="E99" s="65"/>
      <c r="F99" s="65"/>
      <c r="G99" s="65"/>
      <c r="H99" s="64">
        <v>3</v>
      </c>
      <c r="I99" s="15">
        <v>90</v>
      </c>
      <c r="J99" s="15">
        <v>30</v>
      </c>
      <c r="K99" s="3">
        <v>0.5</v>
      </c>
      <c r="L99" s="15">
        <f>K99*30</f>
        <v>15</v>
      </c>
      <c r="M99" s="17">
        <v>1</v>
      </c>
      <c r="N99" s="15">
        <f>K99*M99</f>
        <v>0.5</v>
      </c>
      <c r="O99" s="15">
        <f>L99*M99</f>
        <v>15</v>
      </c>
      <c r="P99" s="3">
        <v>0.5</v>
      </c>
      <c r="Q99" s="15">
        <f>P99*30</f>
        <v>15</v>
      </c>
      <c r="R99" s="17">
        <v>2</v>
      </c>
      <c r="S99" s="15">
        <f>P99*R99</f>
        <v>1</v>
      </c>
      <c r="T99" s="15">
        <f>Q99*R99</f>
        <v>30</v>
      </c>
      <c r="U99" s="4">
        <f>N99+S99</f>
        <v>1.5</v>
      </c>
      <c r="V99" s="3">
        <f>O99+T99</f>
        <v>45</v>
      </c>
      <c r="W99" s="19"/>
    </row>
    <row r="100" spans="1:25" ht="18" customHeight="1" x14ac:dyDescent="0.3">
      <c r="B100" s="63"/>
      <c r="C100" s="13" t="s">
        <v>18</v>
      </c>
      <c r="D100" s="66"/>
      <c r="E100" s="66"/>
      <c r="F100" s="66"/>
      <c r="G100" s="66"/>
      <c r="H100" s="66"/>
      <c r="I100" s="15">
        <v>90</v>
      </c>
      <c r="J100" s="15">
        <v>30</v>
      </c>
      <c r="K100" s="3">
        <v>0.5</v>
      </c>
      <c r="L100" s="15">
        <f>K100*30</f>
        <v>15</v>
      </c>
      <c r="M100" s="17">
        <v>1</v>
      </c>
      <c r="N100" s="15">
        <f>K100*M100</f>
        <v>0.5</v>
      </c>
      <c r="O100" s="15">
        <f>L100*M100</f>
        <v>15</v>
      </c>
      <c r="P100" s="3">
        <v>0.5</v>
      </c>
      <c r="Q100" s="15">
        <f>P100*30</f>
        <v>15</v>
      </c>
      <c r="R100" s="17">
        <v>1</v>
      </c>
      <c r="S100" s="15">
        <f>P100*R100</f>
        <v>0.5</v>
      </c>
      <c r="T100" s="15">
        <f>Q100*R100</f>
        <v>15</v>
      </c>
      <c r="U100" s="4">
        <f>N100+S100</f>
        <v>1</v>
      </c>
      <c r="V100" s="3">
        <f>O100+T100</f>
        <v>30</v>
      </c>
      <c r="W100" s="19"/>
    </row>
    <row r="101" spans="1:25" ht="36" x14ac:dyDescent="0.4">
      <c r="A101" s="7"/>
      <c r="B101" s="62" t="s">
        <v>43</v>
      </c>
      <c r="C101" s="13" t="s">
        <v>17</v>
      </c>
      <c r="D101" s="64">
        <v>80</v>
      </c>
      <c r="E101" s="64">
        <v>13</v>
      </c>
      <c r="F101" s="64"/>
      <c r="G101" s="64" t="s">
        <v>29</v>
      </c>
      <c r="H101" s="64">
        <v>4</v>
      </c>
      <c r="I101" s="15">
        <v>120</v>
      </c>
      <c r="J101" s="15">
        <v>45</v>
      </c>
      <c r="K101" s="3">
        <v>0.5</v>
      </c>
      <c r="L101" s="15">
        <f t="shared" si="17"/>
        <v>15</v>
      </c>
      <c r="M101" s="17">
        <v>1</v>
      </c>
      <c r="N101" s="15">
        <f t="shared" si="18"/>
        <v>0.5</v>
      </c>
      <c r="O101" s="15">
        <f t="shared" si="19"/>
        <v>15</v>
      </c>
      <c r="P101" s="3">
        <v>1</v>
      </c>
      <c r="Q101" s="15">
        <f t="shared" si="20"/>
        <v>30</v>
      </c>
      <c r="R101" s="38">
        <v>4</v>
      </c>
      <c r="S101" s="15">
        <f t="shared" si="21"/>
        <v>4</v>
      </c>
      <c r="T101" s="15">
        <f t="shared" si="22"/>
        <v>120</v>
      </c>
      <c r="U101" s="4">
        <f t="shared" si="23"/>
        <v>4.5</v>
      </c>
      <c r="V101" s="3">
        <f t="shared" si="24"/>
        <v>135</v>
      </c>
      <c r="W101" s="52" t="s">
        <v>618</v>
      </c>
      <c r="X101">
        <v>4.5</v>
      </c>
      <c r="Y101" s="59"/>
    </row>
    <row r="102" spans="1:25" ht="18" customHeight="1" x14ac:dyDescent="0.3">
      <c r="A102" s="7"/>
      <c r="B102" s="63"/>
      <c r="C102" s="13" t="s">
        <v>18</v>
      </c>
      <c r="D102" s="65"/>
      <c r="E102" s="65"/>
      <c r="F102" s="65"/>
      <c r="G102" s="65"/>
      <c r="H102" s="66"/>
      <c r="I102" s="15">
        <v>120</v>
      </c>
      <c r="J102" s="15">
        <v>45</v>
      </c>
      <c r="K102" s="3">
        <v>0.5</v>
      </c>
      <c r="L102" s="15">
        <f t="shared" si="17"/>
        <v>15</v>
      </c>
      <c r="M102" s="17">
        <v>1</v>
      </c>
      <c r="N102" s="15">
        <f t="shared" si="18"/>
        <v>0.5</v>
      </c>
      <c r="O102" s="15">
        <f t="shared" si="19"/>
        <v>15</v>
      </c>
      <c r="P102" s="3">
        <v>1</v>
      </c>
      <c r="Q102" s="15">
        <f t="shared" si="20"/>
        <v>30</v>
      </c>
      <c r="R102" s="17">
        <v>1</v>
      </c>
      <c r="S102" s="15">
        <f t="shared" si="21"/>
        <v>1</v>
      </c>
      <c r="T102" s="15">
        <f t="shared" si="22"/>
        <v>30</v>
      </c>
      <c r="U102" s="4">
        <f t="shared" si="23"/>
        <v>1.5</v>
      </c>
      <c r="V102" s="3">
        <f t="shared" si="24"/>
        <v>45</v>
      </c>
      <c r="W102" s="19" t="s">
        <v>595</v>
      </c>
      <c r="X102">
        <v>1.5</v>
      </c>
    </row>
    <row r="103" spans="1:25" ht="18" customHeight="1" x14ac:dyDescent="0.3">
      <c r="A103" s="7"/>
      <c r="B103" s="62" t="s">
        <v>42</v>
      </c>
      <c r="C103" s="13" t="s">
        <v>17</v>
      </c>
      <c r="D103" s="65"/>
      <c r="E103" s="65"/>
      <c r="F103" s="65"/>
      <c r="G103" s="65"/>
      <c r="H103" s="64">
        <v>3</v>
      </c>
      <c r="I103" s="15">
        <v>90</v>
      </c>
      <c r="J103" s="15">
        <v>30</v>
      </c>
      <c r="K103" s="3">
        <v>0.5</v>
      </c>
      <c r="L103" s="15">
        <f t="shared" si="17"/>
        <v>15</v>
      </c>
      <c r="M103" s="17">
        <v>1</v>
      </c>
      <c r="N103" s="15">
        <f t="shared" si="18"/>
        <v>0.5</v>
      </c>
      <c r="O103" s="15">
        <f t="shared" si="19"/>
        <v>15</v>
      </c>
      <c r="P103" s="3">
        <v>0.5</v>
      </c>
      <c r="Q103" s="15">
        <f t="shared" si="20"/>
        <v>15</v>
      </c>
      <c r="R103" s="17">
        <v>3</v>
      </c>
      <c r="S103" s="15">
        <f t="shared" si="21"/>
        <v>1.5</v>
      </c>
      <c r="T103" s="15">
        <f t="shared" si="22"/>
        <v>45</v>
      </c>
      <c r="U103" s="4">
        <f t="shared" si="23"/>
        <v>2</v>
      </c>
      <c r="V103" s="3">
        <f t="shared" si="24"/>
        <v>60</v>
      </c>
      <c r="W103" s="19"/>
    </row>
    <row r="104" spans="1:25" ht="18" customHeight="1" x14ac:dyDescent="0.3">
      <c r="A104" s="7"/>
      <c r="B104" s="63"/>
      <c r="C104" s="13" t="s">
        <v>18</v>
      </c>
      <c r="D104" s="65"/>
      <c r="E104" s="65"/>
      <c r="F104" s="65"/>
      <c r="G104" s="65"/>
      <c r="H104" s="66"/>
      <c r="I104" s="15">
        <v>90</v>
      </c>
      <c r="J104" s="15">
        <v>30</v>
      </c>
      <c r="K104" s="3">
        <v>0.5</v>
      </c>
      <c r="L104" s="15">
        <f t="shared" si="17"/>
        <v>15</v>
      </c>
      <c r="M104" s="17">
        <v>1</v>
      </c>
      <c r="N104" s="15">
        <f t="shared" si="18"/>
        <v>0.5</v>
      </c>
      <c r="O104" s="15">
        <f t="shared" si="19"/>
        <v>15</v>
      </c>
      <c r="P104" s="3">
        <v>0.5</v>
      </c>
      <c r="Q104" s="15">
        <f t="shared" si="20"/>
        <v>15</v>
      </c>
      <c r="R104" s="17">
        <v>1</v>
      </c>
      <c r="S104" s="15">
        <f t="shared" si="21"/>
        <v>0.5</v>
      </c>
      <c r="T104" s="15">
        <f t="shared" si="22"/>
        <v>15</v>
      </c>
      <c r="U104" s="4">
        <f t="shared" si="23"/>
        <v>1</v>
      </c>
      <c r="V104" s="3">
        <f t="shared" si="24"/>
        <v>30</v>
      </c>
      <c r="W104" s="19"/>
    </row>
    <row r="105" spans="1:25" ht="18" customHeight="1" x14ac:dyDescent="0.3">
      <c r="A105" s="7"/>
      <c r="B105" s="62" t="s">
        <v>41</v>
      </c>
      <c r="C105" s="13" t="s">
        <v>17</v>
      </c>
      <c r="D105" s="65"/>
      <c r="E105" s="65"/>
      <c r="F105" s="65"/>
      <c r="G105" s="65"/>
      <c r="H105" s="64">
        <v>4</v>
      </c>
      <c r="I105" s="15">
        <v>120</v>
      </c>
      <c r="J105" s="15">
        <v>45</v>
      </c>
      <c r="K105" s="3">
        <v>0.5</v>
      </c>
      <c r="L105" s="15">
        <f t="shared" si="17"/>
        <v>15</v>
      </c>
      <c r="M105" s="17">
        <v>1</v>
      </c>
      <c r="N105" s="15">
        <f t="shared" si="18"/>
        <v>0.5</v>
      </c>
      <c r="O105" s="15">
        <f t="shared" si="19"/>
        <v>15</v>
      </c>
      <c r="P105" s="3">
        <v>1</v>
      </c>
      <c r="Q105" s="15">
        <f t="shared" si="20"/>
        <v>30</v>
      </c>
      <c r="R105" s="17">
        <v>3</v>
      </c>
      <c r="S105" s="15">
        <f t="shared" si="21"/>
        <v>3</v>
      </c>
      <c r="T105" s="15">
        <f t="shared" si="22"/>
        <v>90</v>
      </c>
      <c r="U105" s="4">
        <f t="shared" si="23"/>
        <v>3.5</v>
      </c>
      <c r="V105" s="3">
        <f t="shared" si="24"/>
        <v>105</v>
      </c>
      <c r="W105" s="19"/>
    </row>
    <row r="106" spans="1:25" ht="18" customHeight="1" x14ac:dyDescent="0.3">
      <c r="A106" s="7"/>
      <c r="B106" s="63"/>
      <c r="C106" s="13" t="s">
        <v>18</v>
      </c>
      <c r="D106" s="65"/>
      <c r="E106" s="65"/>
      <c r="F106" s="65"/>
      <c r="G106" s="65"/>
      <c r="H106" s="66"/>
      <c r="I106" s="15">
        <v>120</v>
      </c>
      <c r="J106" s="15">
        <v>45</v>
      </c>
      <c r="K106" s="3">
        <v>0.5</v>
      </c>
      <c r="L106" s="15">
        <f t="shared" si="17"/>
        <v>15</v>
      </c>
      <c r="M106" s="17">
        <v>1</v>
      </c>
      <c r="N106" s="15">
        <f t="shared" si="18"/>
        <v>0.5</v>
      </c>
      <c r="O106" s="15">
        <f t="shared" si="19"/>
        <v>15</v>
      </c>
      <c r="P106" s="3">
        <v>1</v>
      </c>
      <c r="Q106" s="15">
        <f t="shared" si="20"/>
        <v>30</v>
      </c>
      <c r="R106" s="17">
        <v>1</v>
      </c>
      <c r="S106" s="15">
        <f t="shared" si="21"/>
        <v>1</v>
      </c>
      <c r="T106" s="15">
        <f t="shared" si="22"/>
        <v>30</v>
      </c>
      <c r="U106" s="4">
        <f t="shared" si="23"/>
        <v>1.5</v>
      </c>
      <c r="V106" s="3">
        <f t="shared" si="24"/>
        <v>45</v>
      </c>
      <c r="W106" s="19"/>
    </row>
    <row r="107" spans="1:25" ht="18" customHeight="1" x14ac:dyDescent="0.3">
      <c r="A107" s="7"/>
      <c r="B107" s="14" t="s">
        <v>137</v>
      </c>
      <c r="C107" s="64" t="s">
        <v>206</v>
      </c>
      <c r="D107" s="65"/>
      <c r="E107" s="65"/>
      <c r="F107" s="65"/>
      <c r="G107" s="65"/>
      <c r="H107" s="12">
        <v>5</v>
      </c>
      <c r="I107" s="15">
        <v>150</v>
      </c>
      <c r="J107" s="15">
        <v>45</v>
      </c>
      <c r="K107" s="3">
        <v>0</v>
      </c>
      <c r="L107" s="15">
        <f t="shared" si="17"/>
        <v>0</v>
      </c>
      <c r="M107" s="17">
        <v>0</v>
      </c>
      <c r="N107" s="15">
        <f t="shared" si="18"/>
        <v>0</v>
      </c>
      <c r="O107" s="15">
        <f t="shared" si="19"/>
        <v>0</v>
      </c>
      <c r="P107" s="3">
        <v>1.5</v>
      </c>
      <c r="Q107" s="15">
        <f t="shared" si="20"/>
        <v>45</v>
      </c>
      <c r="R107" s="38">
        <v>5</v>
      </c>
      <c r="S107" s="15">
        <f t="shared" si="21"/>
        <v>7.5</v>
      </c>
      <c r="T107" s="15">
        <f t="shared" si="22"/>
        <v>225</v>
      </c>
      <c r="U107" s="4">
        <f t="shared" si="23"/>
        <v>7.5</v>
      </c>
      <c r="V107" s="3">
        <f t="shared" si="24"/>
        <v>225</v>
      </c>
      <c r="W107" s="19"/>
    </row>
    <row r="108" spans="1:25" ht="129" customHeight="1" x14ac:dyDescent="0.3">
      <c r="B108" s="14" t="s">
        <v>103</v>
      </c>
      <c r="C108" s="66"/>
      <c r="D108" s="65"/>
      <c r="E108" s="65"/>
      <c r="F108" s="65"/>
      <c r="G108" s="65"/>
      <c r="H108" s="12">
        <v>3</v>
      </c>
      <c r="I108" s="15">
        <v>90</v>
      </c>
      <c r="J108" s="15">
        <v>30</v>
      </c>
      <c r="K108" s="3">
        <v>0</v>
      </c>
      <c r="L108" s="15">
        <f t="shared" si="17"/>
        <v>0</v>
      </c>
      <c r="M108" s="17">
        <v>0</v>
      </c>
      <c r="N108" s="15">
        <f t="shared" si="18"/>
        <v>0</v>
      </c>
      <c r="O108" s="15">
        <f t="shared" si="19"/>
        <v>0</v>
      </c>
      <c r="P108" s="3">
        <v>1</v>
      </c>
      <c r="Q108" s="15">
        <f t="shared" si="20"/>
        <v>30</v>
      </c>
      <c r="R108" s="38">
        <v>6</v>
      </c>
      <c r="S108" s="15">
        <f t="shared" si="21"/>
        <v>6</v>
      </c>
      <c r="T108" s="15">
        <f t="shared" si="22"/>
        <v>180</v>
      </c>
      <c r="U108" s="4">
        <f t="shared" si="23"/>
        <v>6</v>
      </c>
      <c r="V108" s="3">
        <f t="shared" si="24"/>
        <v>180</v>
      </c>
      <c r="W108" s="41" t="s">
        <v>556</v>
      </c>
    </row>
    <row r="109" spans="1:25" ht="18" customHeight="1" x14ac:dyDescent="0.3">
      <c r="A109" s="7"/>
      <c r="B109" s="68" t="s">
        <v>73</v>
      </c>
      <c r="C109" s="13" t="s">
        <v>18</v>
      </c>
      <c r="D109" s="64"/>
      <c r="E109" s="64">
        <v>43</v>
      </c>
      <c r="F109" s="64">
        <v>15</v>
      </c>
      <c r="G109" s="64" t="s">
        <v>74</v>
      </c>
      <c r="H109" s="64">
        <v>6</v>
      </c>
      <c r="I109" s="15">
        <v>180</v>
      </c>
      <c r="J109" s="15">
        <v>60</v>
      </c>
      <c r="K109" s="3">
        <v>0</v>
      </c>
      <c r="L109" s="15">
        <f t="shared" ref="L109:L114" si="25">K109*30</f>
        <v>0</v>
      </c>
      <c r="M109" s="17">
        <v>0</v>
      </c>
      <c r="N109" s="15">
        <f t="shared" ref="N109:N114" si="26">K109*M109</f>
        <v>0</v>
      </c>
      <c r="O109" s="15">
        <f t="shared" ref="O109:O114" si="27">L109*M109</f>
        <v>0</v>
      </c>
      <c r="P109" s="3">
        <v>2</v>
      </c>
      <c r="Q109" s="15">
        <f t="shared" ref="Q109:Q114" si="28">P109*30</f>
        <v>60</v>
      </c>
      <c r="R109" s="38">
        <v>3</v>
      </c>
      <c r="S109" s="15">
        <f t="shared" ref="S109:S114" si="29">P109*R109</f>
        <v>6</v>
      </c>
      <c r="T109" s="15">
        <f t="shared" ref="T109:T114" si="30">Q109*R109</f>
        <v>180</v>
      </c>
      <c r="U109" s="4">
        <f t="shared" ref="U109:U114" si="31">N109+S109</f>
        <v>6</v>
      </c>
      <c r="V109" s="3">
        <f t="shared" ref="V109:V114" si="32">O109+T109</f>
        <v>180</v>
      </c>
      <c r="W109" s="19"/>
    </row>
    <row r="110" spans="1:25" ht="18" customHeight="1" x14ac:dyDescent="0.3">
      <c r="A110" s="7"/>
      <c r="B110" s="69"/>
      <c r="C110" s="13" t="s">
        <v>149</v>
      </c>
      <c r="D110" s="65"/>
      <c r="E110" s="65"/>
      <c r="F110" s="65"/>
      <c r="G110" s="65"/>
      <c r="H110" s="66"/>
      <c r="I110" s="15">
        <v>180</v>
      </c>
      <c r="J110" s="15">
        <v>60</v>
      </c>
      <c r="K110" s="3">
        <v>0</v>
      </c>
      <c r="L110" s="15">
        <f t="shared" si="25"/>
        <v>0</v>
      </c>
      <c r="M110" s="17">
        <v>0</v>
      </c>
      <c r="N110" s="15">
        <f t="shared" si="26"/>
        <v>0</v>
      </c>
      <c r="O110" s="15">
        <f t="shared" si="27"/>
        <v>0</v>
      </c>
      <c r="P110" s="3">
        <v>2</v>
      </c>
      <c r="Q110" s="15">
        <f t="shared" si="28"/>
        <v>60</v>
      </c>
      <c r="R110" s="38">
        <v>1</v>
      </c>
      <c r="S110" s="15">
        <f t="shared" si="29"/>
        <v>2</v>
      </c>
      <c r="T110" s="15">
        <f t="shared" si="30"/>
        <v>60</v>
      </c>
      <c r="U110" s="4">
        <f t="shared" si="31"/>
        <v>2</v>
      </c>
      <c r="V110" s="3">
        <f t="shared" si="32"/>
        <v>60</v>
      </c>
      <c r="W110" s="19"/>
    </row>
    <row r="111" spans="1:25" ht="18" customHeight="1" x14ac:dyDescent="0.3">
      <c r="A111" s="7"/>
      <c r="B111" s="43" t="s">
        <v>144</v>
      </c>
      <c r="C111" s="13" t="s">
        <v>206</v>
      </c>
      <c r="D111" s="12">
        <v>6</v>
      </c>
      <c r="E111" s="12">
        <v>7</v>
      </c>
      <c r="F111" s="12"/>
      <c r="G111" s="12" t="s">
        <v>145</v>
      </c>
      <c r="H111" s="12">
        <v>5</v>
      </c>
      <c r="I111" s="15">
        <v>150</v>
      </c>
      <c r="J111" s="15">
        <v>45</v>
      </c>
      <c r="K111" s="3">
        <v>0</v>
      </c>
      <c r="L111" s="15">
        <f t="shared" si="25"/>
        <v>0</v>
      </c>
      <c r="M111" s="17">
        <v>0</v>
      </c>
      <c r="N111" s="15">
        <f t="shared" si="26"/>
        <v>0</v>
      </c>
      <c r="O111" s="15">
        <f t="shared" si="27"/>
        <v>0</v>
      </c>
      <c r="P111" s="3">
        <v>1.5</v>
      </c>
      <c r="Q111" s="15">
        <f t="shared" si="28"/>
        <v>45</v>
      </c>
      <c r="R111" s="17">
        <v>1</v>
      </c>
      <c r="S111" s="15">
        <f t="shared" si="29"/>
        <v>1.5</v>
      </c>
      <c r="T111" s="15">
        <f t="shared" si="30"/>
        <v>45</v>
      </c>
      <c r="U111" s="4">
        <f t="shared" si="31"/>
        <v>1.5</v>
      </c>
      <c r="V111" s="3">
        <f t="shared" si="32"/>
        <v>45</v>
      </c>
      <c r="W111" s="19"/>
    </row>
    <row r="112" spans="1:25" ht="18" customHeight="1" x14ac:dyDescent="0.3">
      <c r="A112" s="7"/>
      <c r="B112" s="43" t="s">
        <v>147</v>
      </c>
      <c r="C112" s="15" t="s">
        <v>17</v>
      </c>
      <c r="D112" s="12">
        <v>21</v>
      </c>
      <c r="E112" s="12"/>
      <c r="F112" s="12"/>
      <c r="G112" s="12" t="s">
        <v>148</v>
      </c>
      <c r="H112" s="12">
        <v>3</v>
      </c>
      <c r="I112" s="15">
        <v>90</v>
      </c>
      <c r="J112" s="15">
        <v>30</v>
      </c>
      <c r="K112" s="3">
        <v>0.5</v>
      </c>
      <c r="L112" s="15">
        <f t="shared" si="25"/>
        <v>15</v>
      </c>
      <c r="M112" s="17">
        <v>1</v>
      </c>
      <c r="N112" s="15">
        <f t="shared" si="26"/>
        <v>0.5</v>
      </c>
      <c r="O112" s="15">
        <f t="shared" si="27"/>
        <v>15</v>
      </c>
      <c r="P112" s="3">
        <v>0.5</v>
      </c>
      <c r="Q112" s="15">
        <f t="shared" si="28"/>
        <v>15</v>
      </c>
      <c r="R112" s="17">
        <v>1</v>
      </c>
      <c r="S112" s="15">
        <f t="shared" si="29"/>
        <v>0.5</v>
      </c>
      <c r="T112" s="15">
        <f t="shared" si="30"/>
        <v>15</v>
      </c>
      <c r="U112" s="4">
        <f t="shared" si="31"/>
        <v>1</v>
      </c>
      <c r="V112" s="3">
        <f t="shared" si="32"/>
        <v>30</v>
      </c>
      <c r="W112" s="19"/>
    </row>
    <row r="113" spans="1:24" ht="18" customHeight="1" x14ac:dyDescent="0.3">
      <c r="A113" s="7"/>
      <c r="B113" s="68" t="s">
        <v>34</v>
      </c>
      <c r="C113" s="13" t="s">
        <v>17</v>
      </c>
      <c r="D113" s="64">
        <v>27</v>
      </c>
      <c r="E113" s="64">
        <v>19</v>
      </c>
      <c r="F113" s="64"/>
      <c r="G113" s="64" t="s">
        <v>38</v>
      </c>
      <c r="H113" s="64">
        <v>5</v>
      </c>
      <c r="I113" s="15">
        <v>150</v>
      </c>
      <c r="J113" s="15">
        <v>45</v>
      </c>
      <c r="K113" s="3">
        <v>0</v>
      </c>
      <c r="L113" s="15">
        <f t="shared" si="25"/>
        <v>0</v>
      </c>
      <c r="M113" s="17">
        <v>0</v>
      </c>
      <c r="N113" s="15">
        <f t="shared" si="26"/>
        <v>0</v>
      </c>
      <c r="O113" s="15">
        <f t="shared" si="27"/>
        <v>0</v>
      </c>
      <c r="P113" s="3">
        <v>1.5</v>
      </c>
      <c r="Q113" s="15">
        <f t="shared" si="28"/>
        <v>45</v>
      </c>
      <c r="R113" s="38">
        <v>2</v>
      </c>
      <c r="S113" s="15">
        <f t="shared" si="29"/>
        <v>3</v>
      </c>
      <c r="T113" s="15">
        <f t="shared" si="30"/>
        <v>90</v>
      </c>
      <c r="U113" s="4">
        <f t="shared" si="31"/>
        <v>3</v>
      </c>
      <c r="V113" s="3">
        <f t="shared" si="32"/>
        <v>90</v>
      </c>
      <c r="W113" s="19"/>
    </row>
    <row r="114" spans="1:24" ht="18" customHeight="1" x14ac:dyDescent="0.3">
      <c r="A114" s="7"/>
      <c r="B114" s="69"/>
      <c r="C114" s="13" t="s">
        <v>18</v>
      </c>
      <c r="D114" s="66"/>
      <c r="E114" s="66"/>
      <c r="F114" s="66"/>
      <c r="G114" s="66"/>
      <c r="H114" s="66"/>
      <c r="I114" s="15">
        <v>150</v>
      </c>
      <c r="J114" s="15">
        <v>45</v>
      </c>
      <c r="K114" s="3">
        <v>0</v>
      </c>
      <c r="L114" s="15">
        <f t="shared" si="25"/>
        <v>0</v>
      </c>
      <c r="M114" s="17">
        <v>0</v>
      </c>
      <c r="N114" s="15">
        <f t="shared" si="26"/>
        <v>0</v>
      </c>
      <c r="O114" s="15">
        <f t="shared" si="27"/>
        <v>0</v>
      </c>
      <c r="P114" s="3">
        <v>1.5</v>
      </c>
      <c r="Q114" s="15">
        <f t="shared" si="28"/>
        <v>45</v>
      </c>
      <c r="R114" s="17">
        <v>1</v>
      </c>
      <c r="S114" s="15">
        <f t="shared" si="29"/>
        <v>1.5</v>
      </c>
      <c r="T114" s="15">
        <f t="shared" si="30"/>
        <v>45</v>
      </c>
      <c r="U114" s="4">
        <f t="shared" si="31"/>
        <v>1.5</v>
      </c>
      <c r="V114" s="3">
        <f t="shared" si="32"/>
        <v>45</v>
      </c>
      <c r="W114" s="19"/>
    </row>
    <row r="115" spans="1:24" x14ac:dyDescent="0.35">
      <c r="X115">
        <f>SUM(X5:X114)</f>
        <v>55.5</v>
      </c>
    </row>
  </sheetData>
  <autoFilter ref="A4:W114" xr:uid="{00000000-0009-0000-0000-000000000000}"/>
  <mergeCells count="229">
    <mergeCell ref="H36:H37"/>
    <mergeCell ref="G36:G37"/>
    <mergeCell ref="F36:F37"/>
    <mergeCell ref="E36:E37"/>
    <mergeCell ref="D36:D37"/>
    <mergeCell ref="G40:G43"/>
    <mergeCell ref="F40:F43"/>
    <mergeCell ref="E40:E43"/>
    <mergeCell ref="D40:D43"/>
    <mergeCell ref="G38:G39"/>
    <mergeCell ref="D38:D39"/>
    <mergeCell ref="F38:F39"/>
    <mergeCell ref="H42:H43"/>
    <mergeCell ref="H10:H12"/>
    <mergeCell ref="B34:B35"/>
    <mergeCell ref="H34:H35"/>
    <mergeCell ref="G34:G35"/>
    <mergeCell ref="F34:F35"/>
    <mergeCell ref="E34:E35"/>
    <mergeCell ref="D34:D35"/>
    <mergeCell ref="F28:F31"/>
    <mergeCell ref="D28:D31"/>
    <mergeCell ref="D32:D33"/>
    <mergeCell ref="F32:F33"/>
    <mergeCell ref="G32:G33"/>
    <mergeCell ref="E32:E33"/>
    <mergeCell ref="B13:B14"/>
    <mergeCell ref="B15:B16"/>
    <mergeCell ref="B32:B33"/>
    <mergeCell ref="H32:H33"/>
    <mergeCell ref="B17:B18"/>
    <mergeCell ref="H19:H20"/>
    <mergeCell ref="B21:B22"/>
    <mergeCell ref="H21:H22"/>
    <mergeCell ref="B23:B24"/>
    <mergeCell ref="H23:H24"/>
    <mergeCell ref="H25:H27"/>
    <mergeCell ref="H113:H114"/>
    <mergeCell ref="F13:F18"/>
    <mergeCell ref="D19:D24"/>
    <mergeCell ref="F19:F24"/>
    <mergeCell ref="G19:G24"/>
    <mergeCell ref="G28:G31"/>
    <mergeCell ref="H101:H102"/>
    <mergeCell ref="B103:B104"/>
    <mergeCell ref="H103:H104"/>
    <mergeCell ref="G90:G93"/>
    <mergeCell ref="D90:D93"/>
    <mergeCell ref="F90:F93"/>
    <mergeCell ref="E90:E93"/>
    <mergeCell ref="H97:H98"/>
    <mergeCell ref="B97:B98"/>
    <mergeCell ref="G101:G108"/>
    <mergeCell ref="D101:D108"/>
    <mergeCell ref="E101:E108"/>
    <mergeCell ref="F101:F108"/>
    <mergeCell ref="B105:B106"/>
    <mergeCell ref="C90:C93"/>
    <mergeCell ref="B99:B100"/>
    <mergeCell ref="H99:H100"/>
    <mergeCell ref="G86:G89"/>
    <mergeCell ref="H30:H31"/>
    <mergeCell ref="H28:H29"/>
    <mergeCell ref="B19:B20"/>
    <mergeCell ref="E28:E31"/>
    <mergeCell ref="B30:B31"/>
    <mergeCell ref="B28:B29"/>
    <mergeCell ref="B25:B27"/>
    <mergeCell ref="E19:E24"/>
    <mergeCell ref="G25:G27"/>
    <mergeCell ref="F25:F27"/>
    <mergeCell ref="E25:E27"/>
    <mergeCell ref="D25:D27"/>
    <mergeCell ref="H95:H96"/>
    <mergeCell ref="B95:B96"/>
    <mergeCell ref="H105:H106"/>
    <mergeCell ref="B101:B102"/>
    <mergeCell ref="B109:B110"/>
    <mergeCell ref="H109:H110"/>
    <mergeCell ref="G109:G110"/>
    <mergeCell ref="D109:D110"/>
    <mergeCell ref="F109:F110"/>
    <mergeCell ref="E109:E110"/>
    <mergeCell ref="C107:C108"/>
    <mergeCell ref="H80:H81"/>
    <mergeCell ref="B82:B83"/>
    <mergeCell ref="H82:H83"/>
    <mergeCell ref="G78:G83"/>
    <mergeCell ref="D78:D83"/>
    <mergeCell ref="F78:F83"/>
    <mergeCell ref="E78:E83"/>
    <mergeCell ref="H76:H77"/>
    <mergeCell ref="B78:B79"/>
    <mergeCell ref="H78:H79"/>
    <mergeCell ref="G74:G77"/>
    <mergeCell ref="D74:D77"/>
    <mergeCell ref="F74:F77"/>
    <mergeCell ref="E74:E77"/>
    <mergeCell ref="B76:B77"/>
    <mergeCell ref="H72:H73"/>
    <mergeCell ref="B74:B75"/>
    <mergeCell ref="H74:H75"/>
    <mergeCell ref="F70:F73"/>
    <mergeCell ref="D70:D73"/>
    <mergeCell ref="E70:E73"/>
    <mergeCell ref="G70:G73"/>
    <mergeCell ref="B46:B47"/>
    <mergeCell ref="F46:F51"/>
    <mergeCell ref="H46:H47"/>
    <mergeCell ref="B50:B51"/>
    <mergeCell ref="E58:E61"/>
    <mergeCell ref="E54:E57"/>
    <mergeCell ref="E52:E53"/>
    <mergeCell ref="G58:G61"/>
    <mergeCell ref="G62:G65"/>
    <mergeCell ref="G66:G69"/>
    <mergeCell ref="B48:B49"/>
    <mergeCell ref="B56:B57"/>
    <mergeCell ref="B60:B61"/>
    <mergeCell ref="B68:B69"/>
    <mergeCell ref="H58:H59"/>
    <mergeCell ref="H70:H71"/>
    <mergeCell ref="B54:B55"/>
    <mergeCell ref="I2:I4"/>
    <mergeCell ref="J2:J4"/>
    <mergeCell ref="H13:H14"/>
    <mergeCell ref="H15:H16"/>
    <mergeCell ref="H17:H18"/>
    <mergeCell ref="G13:G18"/>
    <mergeCell ref="D7:D9"/>
    <mergeCell ref="B40:B41"/>
    <mergeCell ref="H68:H69"/>
    <mergeCell ref="D66:D69"/>
    <mergeCell ref="F66:F69"/>
    <mergeCell ref="E66:E69"/>
    <mergeCell ref="B64:B65"/>
    <mergeCell ref="H64:H65"/>
    <mergeCell ref="B66:B67"/>
    <mergeCell ref="H66:H67"/>
    <mergeCell ref="D62:D65"/>
    <mergeCell ref="F62:F65"/>
    <mergeCell ref="E62:E65"/>
    <mergeCell ref="B62:B63"/>
    <mergeCell ref="H62:H63"/>
    <mergeCell ref="H60:H61"/>
    <mergeCell ref="H56:H57"/>
    <mergeCell ref="B58:B59"/>
    <mergeCell ref="W2:W4"/>
    <mergeCell ref="Q2:Q4"/>
    <mergeCell ref="R2:R4"/>
    <mergeCell ref="S2:S4"/>
    <mergeCell ref="T2:T4"/>
    <mergeCell ref="U2:U4"/>
    <mergeCell ref="V2:V4"/>
    <mergeCell ref="K2:K4"/>
    <mergeCell ref="L2:L4"/>
    <mergeCell ref="M2:M4"/>
    <mergeCell ref="N2:N4"/>
    <mergeCell ref="O2:O4"/>
    <mergeCell ref="P2:P4"/>
    <mergeCell ref="B5:B6"/>
    <mergeCell ref="H5:H6"/>
    <mergeCell ref="D2:F3"/>
    <mergeCell ref="B2:B4"/>
    <mergeCell ref="C2:C4"/>
    <mergeCell ref="G2:G4"/>
    <mergeCell ref="D5:D6"/>
    <mergeCell ref="E5:E6"/>
    <mergeCell ref="G5:G6"/>
    <mergeCell ref="H2:H4"/>
    <mergeCell ref="F5:F6"/>
    <mergeCell ref="H7:H9"/>
    <mergeCell ref="E7:E9"/>
    <mergeCell ref="E38:E39"/>
    <mergeCell ref="C38:C39"/>
    <mergeCell ref="C44:C45"/>
    <mergeCell ref="E13:E18"/>
    <mergeCell ref="D13:D18"/>
    <mergeCell ref="H54:H55"/>
    <mergeCell ref="F52:F53"/>
    <mergeCell ref="D52:D53"/>
    <mergeCell ref="H48:H49"/>
    <mergeCell ref="E46:E51"/>
    <mergeCell ref="G54:G57"/>
    <mergeCell ref="G46:G51"/>
    <mergeCell ref="G52:G53"/>
    <mergeCell ref="D44:D45"/>
    <mergeCell ref="F44:F45"/>
    <mergeCell ref="H40:H41"/>
    <mergeCell ref="E44:E45"/>
    <mergeCell ref="G44:G45"/>
    <mergeCell ref="H50:H51"/>
    <mergeCell ref="D46:D51"/>
    <mergeCell ref="D54:D57"/>
    <mergeCell ref="F54:F57"/>
    <mergeCell ref="G113:G114"/>
    <mergeCell ref="F113:F114"/>
    <mergeCell ref="E113:E114"/>
    <mergeCell ref="D113:D114"/>
    <mergeCell ref="D94:D100"/>
    <mergeCell ref="E94:E100"/>
    <mergeCell ref="F94:F100"/>
    <mergeCell ref="G94:G100"/>
    <mergeCell ref="B42:B43"/>
    <mergeCell ref="C52:C53"/>
    <mergeCell ref="B72:B73"/>
    <mergeCell ref="B113:B114"/>
    <mergeCell ref="F86:F89"/>
    <mergeCell ref="E86:E89"/>
    <mergeCell ref="D86:D89"/>
    <mergeCell ref="C86:C89"/>
    <mergeCell ref="G84:G85"/>
    <mergeCell ref="D84:D85"/>
    <mergeCell ref="F84:F85"/>
    <mergeCell ref="E84:E85"/>
    <mergeCell ref="C84:C85"/>
    <mergeCell ref="B80:B81"/>
    <mergeCell ref="F58:F61"/>
    <mergeCell ref="D58:D61"/>
    <mergeCell ref="B70:B71"/>
    <mergeCell ref="F7:F9"/>
    <mergeCell ref="G7:G9"/>
    <mergeCell ref="B7:B9"/>
    <mergeCell ref="B10:B12"/>
    <mergeCell ref="B36:B37"/>
    <mergeCell ref="D10:D12"/>
    <mergeCell ref="E10:E12"/>
    <mergeCell ref="F10:F12"/>
    <mergeCell ref="G10:G12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X101"/>
  <sheetViews>
    <sheetView zoomScale="40" zoomScaleNormal="40" workbookViewId="0">
      <pane xSplit="7" ySplit="4" topLeftCell="H5" activePane="bottomRight" state="frozen"/>
      <selection pane="topRight" activeCell="G1" sqref="G1"/>
      <selection pane="bottomLeft" activeCell="A5" sqref="A5"/>
      <selection pane="bottomRight" activeCell="W59" sqref="W59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22.77734375" style="2" customWidth="1"/>
    <col min="6" max="6" width="19.44140625" style="2" bestFit="1" customWidth="1"/>
    <col min="7" max="7" width="44.5546875" style="6" customWidth="1"/>
    <col min="8" max="8" width="14.21875" style="2" customWidth="1"/>
    <col min="9" max="9" width="13.21875" style="11" customWidth="1"/>
    <col min="10" max="10" width="12" style="11" customWidth="1"/>
    <col min="11" max="11" width="12.5546875" style="1" customWidth="1"/>
    <col min="12" max="12" width="11.21875" style="11" customWidth="1"/>
    <col min="13" max="13" width="10.21875" style="21" customWidth="1"/>
    <col min="14" max="14" width="15.5546875" style="11" customWidth="1"/>
    <col min="15" max="15" width="12.5546875" style="11" customWidth="1"/>
    <col min="16" max="16" width="13.21875" style="1" customWidth="1"/>
    <col min="17" max="17" width="13.21875" style="11" customWidth="1"/>
    <col min="18" max="18" width="11.21875" style="21" customWidth="1"/>
    <col min="19" max="19" width="14.77734375" style="11" customWidth="1"/>
    <col min="20" max="20" width="14.21875" style="11" customWidth="1"/>
    <col min="21" max="21" width="17.21875" style="1" customWidth="1"/>
    <col min="22" max="22" width="13.44140625" style="1" customWidth="1"/>
    <col min="23" max="23" width="54.44140625" style="11" customWidth="1"/>
  </cols>
  <sheetData>
    <row r="2" spans="1:23" ht="32.25" customHeight="1" x14ac:dyDescent="0.3">
      <c r="B2" s="76" t="s">
        <v>19</v>
      </c>
      <c r="C2" s="76" t="s">
        <v>0</v>
      </c>
      <c r="D2" s="70" t="s">
        <v>561</v>
      </c>
      <c r="E2" s="71"/>
      <c r="F2" s="72"/>
      <c r="G2" s="76" t="s">
        <v>1</v>
      </c>
      <c r="H2" s="76" t="s">
        <v>2</v>
      </c>
      <c r="I2" s="80" t="s">
        <v>3</v>
      </c>
      <c r="J2" s="80" t="s">
        <v>4</v>
      </c>
      <c r="K2" s="86" t="s">
        <v>5</v>
      </c>
      <c r="L2" s="76" t="s">
        <v>6</v>
      </c>
      <c r="M2" s="81" t="s">
        <v>7</v>
      </c>
      <c r="N2" s="80" t="s">
        <v>8</v>
      </c>
      <c r="O2" s="80" t="s">
        <v>9</v>
      </c>
      <c r="P2" s="86" t="s">
        <v>10</v>
      </c>
      <c r="Q2" s="80" t="s">
        <v>11</v>
      </c>
      <c r="R2" s="81" t="s">
        <v>7</v>
      </c>
      <c r="S2" s="80" t="s">
        <v>12</v>
      </c>
      <c r="T2" s="80" t="s">
        <v>13</v>
      </c>
      <c r="U2" s="83" t="s">
        <v>14</v>
      </c>
      <c r="V2" s="83" t="s">
        <v>15</v>
      </c>
      <c r="W2" s="79" t="s">
        <v>16</v>
      </c>
    </row>
    <row r="3" spans="1:23" ht="36" customHeight="1" x14ac:dyDescent="0.3">
      <c r="B3" s="77"/>
      <c r="C3" s="77"/>
      <c r="D3" s="73"/>
      <c r="E3" s="74"/>
      <c r="F3" s="75"/>
      <c r="G3" s="77"/>
      <c r="H3" s="77"/>
      <c r="I3" s="80"/>
      <c r="J3" s="80"/>
      <c r="K3" s="86"/>
      <c r="L3" s="77"/>
      <c r="M3" s="82"/>
      <c r="N3" s="80"/>
      <c r="O3" s="80"/>
      <c r="P3" s="86"/>
      <c r="Q3" s="80"/>
      <c r="R3" s="82"/>
      <c r="S3" s="80"/>
      <c r="T3" s="80"/>
      <c r="U3" s="84"/>
      <c r="V3" s="84"/>
      <c r="W3" s="79"/>
    </row>
    <row r="4" spans="1:23" ht="51" customHeight="1" x14ac:dyDescent="0.3">
      <c r="B4" s="78"/>
      <c r="C4" s="78"/>
      <c r="D4" s="18" t="s">
        <v>17</v>
      </c>
      <c r="E4" s="18" t="s">
        <v>18</v>
      </c>
      <c r="F4" s="18" t="s">
        <v>149</v>
      </c>
      <c r="G4" s="78"/>
      <c r="H4" s="78"/>
      <c r="I4" s="80"/>
      <c r="J4" s="80"/>
      <c r="K4" s="86"/>
      <c r="L4" s="78"/>
      <c r="M4" s="73"/>
      <c r="N4" s="80"/>
      <c r="O4" s="80"/>
      <c r="P4" s="86"/>
      <c r="Q4" s="80"/>
      <c r="R4" s="73"/>
      <c r="S4" s="80"/>
      <c r="T4" s="80"/>
      <c r="U4" s="85"/>
      <c r="V4" s="85"/>
      <c r="W4" s="79"/>
    </row>
    <row r="5" spans="1:23" ht="35.549999999999997" customHeight="1" x14ac:dyDescent="0.3">
      <c r="A5" s="22" t="s">
        <v>150</v>
      </c>
      <c r="B5" s="62" t="s">
        <v>39</v>
      </c>
      <c r="C5" s="13" t="s">
        <v>17</v>
      </c>
      <c r="D5" s="64">
        <v>700</v>
      </c>
      <c r="E5" s="64">
        <v>76</v>
      </c>
      <c r="F5" s="64"/>
      <c r="G5" s="64" t="s">
        <v>564</v>
      </c>
      <c r="H5" s="64">
        <v>2</v>
      </c>
      <c r="I5" s="15">
        <v>60</v>
      </c>
      <c r="J5" s="15">
        <v>30</v>
      </c>
      <c r="K5" s="3">
        <v>0</v>
      </c>
      <c r="L5" s="15">
        <f>K5*30</f>
        <v>0</v>
      </c>
      <c r="M5" s="17">
        <v>0</v>
      </c>
      <c r="N5" s="15">
        <f>K5*M5</f>
        <v>0</v>
      </c>
      <c r="O5" s="15">
        <f>L5*M5</f>
        <v>0</v>
      </c>
      <c r="P5" s="3">
        <v>0.5</v>
      </c>
      <c r="Q5" s="15">
        <f>P5*30</f>
        <v>15</v>
      </c>
      <c r="R5" s="17">
        <v>14</v>
      </c>
      <c r="S5" s="15">
        <f>P5*R5</f>
        <v>7</v>
      </c>
      <c r="T5" s="15">
        <f>Q5*R5</f>
        <v>210</v>
      </c>
      <c r="U5" s="4">
        <f>N5+S5</f>
        <v>7</v>
      </c>
      <c r="V5" s="3">
        <f>O5+T5</f>
        <v>210</v>
      </c>
      <c r="W5" s="19"/>
    </row>
    <row r="6" spans="1:23" ht="40.950000000000003" customHeight="1" x14ac:dyDescent="0.3">
      <c r="B6" s="63"/>
      <c r="C6" s="13" t="s">
        <v>18</v>
      </c>
      <c r="D6" s="66"/>
      <c r="E6" s="66"/>
      <c r="F6" s="66"/>
      <c r="G6" s="66"/>
      <c r="H6" s="66"/>
      <c r="I6" s="15">
        <v>60</v>
      </c>
      <c r="J6" s="15">
        <v>30</v>
      </c>
      <c r="K6" s="3">
        <v>0</v>
      </c>
      <c r="L6" s="15">
        <f t="shared" ref="L6:L12" si="0">K6*30</f>
        <v>0</v>
      </c>
      <c r="M6" s="17">
        <v>0</v>
      </c>
      <c r="N6" s="15">
        <f t="shared" ref="N6:N12" si="1">K6*M6</f>
        <v>0</v>
      </c>
      <c r="O6" s="15">
        <f t="shared" ref="O6:O12" si="2">L6*M6</f>
        <v>0</v>
      </c>
      <c r="P6" s="3">
        <v>0.5</v>
      </c>
      <c r="Q6" s="15">
        <f t="shared" ref="Q6:Q12" si="3">P6*30</f>
        <v>15</v>
      </c>
      <c r="R6" s="17">
        <v>2</v>
      </c>
      <c r="S6" s="15">
        <f t="shared" ref="S6:S12" si="4">P6*R6</f>
        <v>1</v>
      </c>
      <c r="T6" s="15">
        <f t="shared" ref="T6:T12" si="5">Q6*R6</f>
        <v>30</v>
      </c>
      <c r="U6" s="4">
        <f t="shared" ref="U6:V12" si="6">N6+S6</f>
        <v>1</v>
      </c>
      <c r="V6" s="3">
        <f t="shared" si="6"/>
        <v>30</v>
      </c>
      <c r="W6" s="19"/>
    </row>
    <row r="7" spans="1:23" ht="27" customHeight="1" x14ac:dyDescent="0.3">
      <c r="A7" s="7"/>
      <c r="B7" s="62" t="s">
        <v>39</v>
      </c>
      <c r="C7" s="13" t="s">
        <v>17</v>
      </c>
      <c r="D7" s="64">
        <v>632</v>
      </c>
      <c r="E7" s="64">
        <v>216</v>
      </c>
      <c r="F7" s="64">
        <v>20</v>
      </c>
      <c r="G7" s="64" t="s">
        <v>565</v>
      </c>
      <c r="H7" s="64">
        <v>2</v>
      </c>
      <c r="I7" s="15">
        <v>60</v>
      </c>
      <c r="J7" s="15">
        <v>30</v>
      </c>
      <c r="K7" s="3">
        <v>0</v>
      </c>
      <c r="L7" s="15">
        <f t="shared" si="0"/>
        <v>0</v>
      </c>
      <c r="M7" s="17">
        <v>0</v>
      </c>
      <c r="N7" s="15">
        <f t="shared" si="1"/>
        <v>0</v>
      </c>
      <c r="O7" s="15">
        <f t="shared" si="2"/>
        <v>0</v>
      </c>
      <c r="P7" s="3">
        <v>0.5</v>
      </c>
      <c r="Q7" s="15">
        <f t="shared" si="3"/>
        <v>15</v>
      </c>
      <c r="R7" s="17">
        <v>13</v>
      </c>
      <c r="S7" s="15">
        <f t="shared" si="4"/>
        <v>6.5</v>
      </c>
      <c r="T7" s="15">
        <f t="shared" si="5"/>
        <v>195</v>
      </c>
      <c r="U7" s="4">
        <f t="shared" si="6"/>
        <v>6.5</v>
      </c>
      <c r="V7" s="3">
        <f t="shared" si="6"/>
        <v>195</v>
      </c>
      <c r="W7" s="19"/>
    </row>
    <row r="8" spans="1:23" ht="25.95" customHeight="1" x14ac:dyDescent="0.3">
      <c r="A8" s="7"/>
      <c r="B8" s="67"/>
      <c r="C8" s="13" t="s">
        <v>18</v>
      </c>
      <c r="D8" s="65"/>
      <c r="E8" s="65"/>
      <c r="F8" s="65"/>
      <c r="G8" s="65"/>
      <c r="H8" s="65"/>
      <c r="I8" s="15">
        <v>60</v>
      </c>
      <c r="J8" s="15">
        <v>30</v>
      </c>
      <c r="K8" s="3">
        <v>0</v>
      </c>
      <c r="L8" s="15">
        <f t="shared" si="0"/>
        <v>0</v>
      </c>
      <c r="M8" s="17">
        <v>0</v>
      </c>
      <c r="N8" s="15">
        <f t="shared" si="1"/>
        <v>0</v>
      </c>
      <c r="O8" s="15">
        <f t="shared" si="2"/>
        <v>0</v>
      </c>
      <c r="P8" s="3">
        <v>0.5</v>
      </c>
      <c r="Q8" s="15">
        <f t="shared" si="3"/>
        <v>15</v>
      </c>
      <c r="R8" s="38">
        <v>5</v>
      </c>
      <c r="S8" s="15">
        <f t="shared" si="4"/>
        <v>2.5</v>
      </c>
      <c r="T8" s="15">
        <f t="shared" si="5"/>
        <v>75</v>
      </c>
      <c r="U8" s="4">
        <f t="shared" si="6"/>
        <v>2.5</v>
      </c>
      <c r="V8" s="3">
        <f t="shared" si="6"/>
        <v>75</v>
      </c>
      <c r="W8" s="19"/>
    </row>
    <row r="9" spans="1:23" ht="28.2" customHeight="1" x14ac:dyDescent="0.3">
      <c r="A9" s="7"/>
      <c r="B9" s="63"/>
      <c r="C9" s="13" t="s">
        <v>149</v>
      </c>
      <c r="D9" s="66"/>
      <c r="E9" s="66"/>
      <c r="F9" s="66"/>
      <c r="G9" s="66"/>
      <c r="H9" s="66"/>
      <c r="I9" s="15">
        <v>60</v>
      </c>
      <c r="J9" s="15">
        <v>30</v>
      </c>
      <c r="K9" s="3">
        <v>0</v>
      </c>
      <c r="L9" s="15">
        <f t="shared" si="0"/>
        <v>0</v>
      </c>
      <c r="M9" s="17">
        <v>0</v>
      </c>
      <c r="N9" s="15">
        <f t="shared" si="1"/>
        <v>0</v>
      </c>
      <c r="O9" s="15">
        <f t="shared" si="2"/>
        <v>0</v>
      </c>
      <c r="P9" s="3">
        <v>0.5</v>
      </c>
      <c r="Q9" s="15">
        <f t="shared" si="3"/>
        <v>15</v>
      </c>
      <c r="R9" s="17">
        <v>1</v>
      </c>
      <c r="S9" s="15">
        <f t="shared" si="4"/>
        <v>0.5</v>
      </c>
      <c r="T9" s="15">
        <f t="shared" si="5"/>
        <v>15</v>
      </c>
      <c r="U9" s="4">
        <f t="shared" si="6"/>
        <v>0.5</v>
      </c>
      <c r="V9" s="3">
        <f t="shared" si="6"/>
        <v>15</v>
      </c>
      <c r="W9" s="19"/>
    </row>
    <row r="10" spans="1:23" ht="28.2" customHeight="1" x14ac:dyDescent="0.3">
      <c r="A10" s="31" t="s">
        <v>140</v>
      </c>
      <c r="B10" s="62" t="s">
        <v>39</v>
      </c>
      <c r="C10" s="13" t="s">
        <v>17</v>
      </c>
      <c r="D10" s="64">
        <v>423</v>
      </c>
      <c r="E10" s="64">
        <v>257</v>
      </c>
      <c r="F10" s="64">
        <v>22</v>
      </c>
      <c r="G10" s="64" t="s">
        <v>566</v>
      </c>
      <c r="H10" s="64">
        <v>2</v>
      </c>
      <c r="I10" s="15">
        <v>60</v>
      </c>
      <c r="J10" s="15">
        <v>30</v>
      </c>
      <c r="K10" s="3">
        <v>0</v>
      </c>
      <c r="L10" s="15">
        <f t="shared" si="0"/>
        <v>0</v>
      </c>
      <c r="M10" s="17">
        <v>0</v>
      </c>
      <c r="N10" s="15">
        <f t="shared" si="1"/>
        <v>0</v>
      </c>
      <c r="O10" s="15">
        <f t="shared" si="2"/>
        <v>0</v>
      </c>
      <c r="P10" s="3">
        <v>0.5</v>
      </c>
      <c r="Q10" s="15">
        <f t="shared" si="3"/>
        <v>15</v>
      </c>
      <c r="R10" s="17">
        <v>9</v>
      </c>
      <c r="S10" s="15">
        <f t="shared" si="4"/>
        <v>4.5</v>
      </c>
      <c r="T10" s="15">
        <f t="shared" si="5"/>
        <v>135</v>
      </c>
      <c r="U10" s="4">
        <f t="shared" si="6"/>
        <v>4.5</v>
      </c>
      <c r="V10" s="3">
        <f t="shared" si="6"/>
        <v>135</v>
      </c>
      <c r="W10" s="19"/>
    </row>
    <row r="11" spans="1:23" ht="25.95" customHeight="1" x14ac:dyDescent="0.3">
      <c r="A11" s="31" t="s">
        <v>150</v>
      </c>
      <c r="B11" s="67"/>
      <c r="C11" s="13" t="s">
        <v>18</v>
      </c>
      <c r="D11" s="65"/>
      <c r="E11" s="65"/>
      <c r="F11" s="65"/>
      <c r="G11" s="65"/>
      <c r="H11" s="65"/>
      <c r="I11" s="15">
        <v>60</v>
      </c>
      <c r="J11" s="15">
        <v>30</v>
      </c>
      <c r="K11" s="3">
        <v>0</v>
      </c>
      <c r="L11" s="15">
        <f t="shared" si="0"/>
        <v>0</v>
      </c>
      <c r="M11" s="17">
        <v>0</v>
      </c>
      <c r="N11" s="15">
        <f t="shared" si="1"/>
        <v>0</v>
      </c>
      <c r="O11" s="15">
        <f t="shared" si="2"/>
        <v>0</v>
      </c>
      <c r="P11" s="3">
        <v>0.5</v>
      </c>
      <c r="Q11" s="15">
        <f t="shared" si="3"/>
        <v>15</v>
      </c>
      <c r="R11" s="17">
        <v>5</v>
      </c>
      <c r="S11" s="15">
        <f t="shared" si="4"/>
        <v>2.5</v>
      </c>
      <c r="T11" s="15">
        <f t="shared" si="5"/>
        <v>75</v>
      </c>
      <c r="U11" s="4">
        <f t="shared" si="6"/>
        <v>2.5</v>
      </c>
      <c r="V11" s="3">
        <f t="shared" si="6"/>
        <v>75</v>
      </c>
      <c r="W11" s="19"/>
    </row>
    <row r="12" spans="1:23" ht="25.2" customHeight="1" x14ac:dyDescent="0.3">
      <c r="A12" s="7"/>
      <c r="B12" s="63"/>
      <c r="C12" s="13" t="s">
        <v>149</v>
      </c>
      <c r="D12" s="66"/>
      <c r="E12" s="66"/>
      <c r="F12" s="66"/>
      <c r="G12" s="66"/>
      <c r="H12" s="66"/>
      <c r="I12" s="15">
        <v>60</v>
      </c>
      <c r="J12" s="15">
        <v>30</v>
      </c>
      <c r="K12" s="3">
        <v>0</v>
      </c>
      <c r="L12" s="15">
        <f t="shared" si="0"/>
        <v>0</v>
      </c>
      <c r="M12" s="17">
        <v>0</v>
      </c>
      <c r="N12" s="15">
        <f t="shared" si="1"/>
        <v>0</v>
      </c>
      <c r="O12" s="15">
        <f t="shared" si="2"/>
        <v>0</v>
      </c>
      <c r="P12" s="3">
        <v>0.5</v>
      </c>
      <c r="Q12" s="15">
        <f t="shared" si="3"/>
        <v>15</v>
      </c>
      <c r="R12" s="17">
        <v>1</v>
      </c>
      <c r="S12" s="15">
        <f t="shared" si="4"/>
        <v>0.5</v>
      </c>
      <c r="T12" s="15">
        <f t="shared" si="5"/>
        <v>15</v>
      </c>
      <c r="U12" s="4">
        <f t="shared" si="6"/>
        <v>0.5</v>
      </c>
      <c r="V12" s="3">
        <f t="shared" si="6"/>
        <v>15</v>
      </c>
      <c r="W12" s="19"/>
    </row>
    <row r="13" spans="1:23" ht="31.95" customHeight="1" x14ac:dyDescent="0.35">
      <c r="A13" s="8"/>
      <c r="B13" s="62" t="s">
        <v>104</v>
      </c>
      <c r="C13" s="13" t="s">
        <v>17</v>
      </c>
      <c r="D13" s="64">
        <v>538</v>
      </c>
      <c r="E13" s="64">
        <v>42</v>
      </c>
      <c r="F13" s="64"/>
      <c r="G13" s="64" t="s">
        <v>141</v>
      </c>
      <c r="H13" s="87">
        <v>4</v>
      </c>
      <c r="I13" s="15">
        <v>120</v>
      </c>
      <c r="J13" s="15">
        <v>45</v>
      </c>
      <c r="K13" s="3">
        <v>0.5</v>
      </c>
      <c r="L13" s="15">
        <f t="shared" ref="L13:L19" si="7">K13*30</f>
        <v>15</v>
      </c>
      <c r="M13" s="17">
        <v>6</v>
      </c>
      <c r="N13" s="15">
        <f t="shared" ref="N13:N19" si="8">K13*M13</f>
        <v>3</v>
      </c>
      <c r="O13" s="15">
        <f t="shared" ref="O13:O19" si="9">L13*M13</f>
        <v>90</v>
      </c>
      <c r="P13" s="3">
        <v>1</v>
      </c>
      <c r="Q13" s="15">
        <f t="shared" ref="Q13:Q19" si="10">P13*30</f>
        <v>30</v>
      </c>
      <c r="R13" s="17">
        <v>18</v>
      </c>
      <c r="S13" s="15">
        <f t="shared" ref="S13:S19" si="11">P13*R13</f>
        <v>18</v>
      </c>
      <c r="T13" s="15">
        <f t="shared" ref="T13:T19" si="12">Q13*R13</f>
        <v>540</v>
      </c>
      <c r="U13" s="4">
        <f t="shared" ref="U13:U19" si="13">N13+S13</f>
        <v>21</v>
      </c>
      <c r="V13" s="3">
        <f t="shared" ref="V13:V19" si="14">O13+T13</f>
        <v>630</v>
      </c>
      <c r="W13" s="10"/>
    </row>
    <row r="14" spans="1:23" ht="36" customHeight="1" x14ac:dyDescent="0.35">
      <c r="A14" s="8"/>
      <c r="B14" s="63"/>
      <c r="C14" s="13" t="s">
        <v>18</v>
      </c>
      <c r="D14" s="66"/>
      <c r="E14" s="66"/>
      <c r="F14" s="66"/>
      <c r="G14" s="66"/>
      <c r="H14" s="88"/>
      <c r="I14" s="15">
        <v>120</v>
      </c>
      <c r="J14" s="15">
        <v>45</v>
      </c>
      <c r="K14" s="3">
        <v>0.5</v>
      </c>
      <c r="L14" s="15">
        <f t="shared" si="7"/>
        <v>15</v>
      </c>
      <c r="M14" s="17">
        <v>1</v>
      </c>
      <c r="N14" s="15">
        <f t="shared" si="8"/>
        <v>0.5</v>
      </c>
      <c r="O14" s="15">
        <f t="shared" si="9"/>
        <v>15</v>
      </c>
      <c r="P14" s="3">
        <v>1</v>
      </c>
      <c r="Q14" s="15">
        <f t="shared" si="10"/>
        <v>30</v>
      </c>
      <c r="R14" s="17">
        <v>2</v>
      </c>
      <c r="S14" s="15">
        <f t="shared" si="11"/>
        <v>2</v>
      </c>
      <c r="T14" s="15">
        <f t="shared" si="12"/>
        <v>60</v>
      </c>
      <c r="U14" s="4">
        <f t="shared" si="13"/>
        <v>2.5</v>
      </c>
      <c r="V14" s="3">
        <f t="shared" si="14"/>
        <v>75</v>
      </c>
      <c r="W14" s="20"/>
    </row>
    <row r="15" spans="1:23" ht="31.95" customHeight="1" x14ac:dyDescent="0.35">
      <c r="A15" s="8"/>
      <c r="B15" s="62" t="s">
        <v>104</v>
      </c>
      <c r="C15" s="13" t="s">
        <v>17</v>
      </c>
      <c r="D15" s="64">
        <v>78</v>
      </c>
      <c r="E15" s="64">
        <v>12</v>
      </c>
      <c r="F15" s="64"/>
      <c r="G15" s="64" t="s">
        <v>142</v>
      </c>
      <c r="H15" s="87">
        <v>4</v>
      </c>
      <c r="I15" s="15">
        <v>120</v>
      </c>
      <c r="J15" s="15">
        <v>45</v>
      </c>
      <c r="K15" s="3">
        <v>0.5</v>
      </c>
      <c r="L15" s="15">
        <f t="shared" si="7"/>
        <v>15</v>
      </c>
      <c r="M15" s="17">
        <v>1</v>
      </c>
      <c r="N15" s="15">
        <f t="shared" si="8"/>
        <v>0.5</v>
      </c>
      <c r="O15" s="15">
        <f t="shared" si="9"/>
        <v>15</v>
      </c>
      <c r="P15" s="3">
        <v>1</v>
      </c>
      <c r="Q15" s="15">
        <f t="shared" si="10"/>
        <v>30</v>
      </c>
      <c r="R15" s="17">
        <v>3</v>
      </c>
      <c r="S15" s="15">
        <f t="shared" si="11"/>
        <v>3</v>
      </c>
      <c r="T15" s="15">
        <f t="shared" si="12"/>
        <v>90</v>
      </c>
      <c r="U15" s="4">
        <f t="shared" si="13"/>
        <v>3.5</v>
      </c>
      <c r="V15" s="3">
        <f t="shared" si="14"/>
        <v>105</v>
      </c>
      <c r="W15" s="10"/>
    </row>
    <row r="16" spans="1:23" ht="36" customHeight="1" x14ac:dyDescent="0.35">
      <c r="A16" s="8"/>
      <c r="B16" s="63"/>
      <c r="C16" s="13" t="s">
        <v>18</v>
      </c>
      <c r="D16" s="66"/>
      <c r="E16" s="66"/>
      <c r="F16" s="66"/>
      <c r="G16" s="66"/>
      <c r="H16" s="88"/>
      <c r="I16" s="15">
        <v>120</v>
      </c>
      <c r="J16" s="15">
        <v>45</v>
      </c>
      <c r="K16" s="3">
        <v>0.5</v>
      </c>
      <c r="L16" s="15">
        <f t="shared" si="7"/>
        <v>15</v>
      </c>
      <c r="M16" s="17">
        <v>1</v>
      </c>
      <c r="N16" s="15">
        <f t="shared" si="8"/>
        <v>0.5</v>
      </c>
      <c r="O16" s="15">
        <f t="shared" si="9"/>
        <v>15</v>
      </c>
      <c r="P16" s="3">
        <v>1</v>
      </c>
      <c r="Q16" s="15">
        <f t="shared" si="10"/>
        <v>30</v>
      </c>
      <c r="R16" s="17">
        <v>1</v>
      </c>
      <c r="S16" s="15">
        <f t="shared" si="11"/>
        <v>1</v>
      </c>
      <c r="T16" s="15">
        <f t="shared" si="12"/>
        <v>30</v>
      </c>
      <c r="U16" s="4">
        <f t="shared" si="13"/>
        <v>1.5</v>
      </c>
      <c r="V16" s="3">
        <f t="shared" si="14"/>
        <v>45</v>
      </c>
      <c r="W16" s="20"/>
    </row>
    <row r="17" spans="1:23" ht="24" customHeight="1" x14ac:dyDescent="0.35">
      <c r="A17" s="23" t="s">
        <v>151</v>
      </c>
      <c r="B17" s="68" t="s">
        <v>39</v>
      </c>
      <c r="C17" s="13" t="s">
        <v>17</v>
      </c>
      <c r="D17" s="64">
        <v>97</v>
      </c>
      <c r="E17" s="64">
        <v>116</v>
      </c>
      <c r="F17" s="64">
        <v>47</v>
      </c>
      <c r="G17" s="64" t="s">
        <v>143</v>
      </c>
      <c r="H17" s="87">
        <v>2</v>
      </c>
      <c r="I17" s="15">
        <v>60</v>
      </c>
      <c r="J17" s="15">
        <v>30</v>
      </c>
      <c r="K17" s="3">
        <v>0</v>
      </c>
      <c r="L17" s="15">
        <f t="shared" si="7"/>
        <v>0</v>
      </c>
      <c r="M17" s="17">
        <v>0</v>
      </c>
      <c r="N17" s="15">
        <f t="shared" si="8"/>
        <v>0</v>
      </c>
      <c r="O17" s="15">
        <f t="shared" si="9"/>
        <v>0</v>
      </c>
      <c r="P17" s="3">
        <v>0.5</v>
      </c>
      <c r="Q17" s="15">
        <f t="shared" si="10"/>
        <v>15</v>
      </c>
      <c r="R17" s="39">
        <v>4</v>
      </c>
      <c r="S17" s="15">
        <f t="shared" si="11"/>
        <v>2</v>
      </c>
      <c r="T17" s="15">
        <f t="shared" si="12"/>
        <v>60</v>
      </c>
      <c r="U17" s="4">
        <f t="shared" si="13"/>
        <v>2</v>
      </c>
      <c r="V17" s="3">
        <f t="shared" si="14"/>
        <v>60</v>
      </c>
      <c r="W17" s="10"/>
    </row>
    <row r="18" spans="1:23" x14ac:dyDescent="0.35">
      <c r="A18" s="8"/>
      <c r="B18" s="93"/>
      <c r="C18" s="13" t="s">
        <v>18</v>
      </c>
      <c r="D18" s="65"/>
      <c r="E18" s="65"/>
      <c r="F18" s="65"/>
      <c r="G18" s="65"/>
      <c r="H18" s="94"/>
      <c r="I18" s="15">
        <v>60</v>
      </c>
      <c r="J18" s="15">
        <v>30</v>
      </c>
      <c r="K18" s="3">
        <v>0</v>
      </c>
      <c r="L18" s="15">
        <f t="shared" si="7"/>
        <v>0</v>
      </c>
      <c r="M18" s="17">
        <v>0</v>
      </c>
      <c r="N18" s="15">
        <f t="shared" si="8"/>
        <v>0</v>
      </c>
      <c r="O18" s="15">
        <f t="shared" si="9"/>
        <v>0</v>
      </c>
      <c r="P18" s="3">
        <v>0.5</v>
      </c>
      <c r="Q18" s="15">
        <f t="shared" si="10"/>
        <v>15</v>
      </c>
      <c r="R18" s="39">
        <v>5</v>
      </c>
      <c r="S18" s="15">
        <f t="shared" si="11"/>
        <v>2.5</v>
      </c>
      <c r="T18" s="15">
        <f t="shared" si="12"/>
        <v>75</v>
      </c>
      <c r="U18" s="4">
        <f t="shared" si="13"/>
        <v>2.5</v>
      </c>
      <c r="V18" s="3">
        <f t="shared" si="14"/>
        <v>75</v>
      </c>
      <c r="W18" s="10"/>
    </row>
    <row r="19" spans="1:23" x14ac:dyDescent="0.35">
      <c r="A19" s="8"/>
      <c r="B19" s="69"/>
      <c r="C19" s="13" t="s">
        <v>149</v>
      </c>
      <c r="D19" s="66"/>
      <c r="E19" s="66"/>
      <c r="F19" s="66"/>
      <c r="G19" s="66"/>
      <c r="H19" s="88"/>
      <c r="I19" s="15">
        <v>60</v>
      </c>
      <c r="J19" s="15">
        <v>30</v>
      </c>
      <c r="K19" s="3">
        <v>0</v>
      </c>
      <c r="L19" s="15">
        <f t="shared" si="7"/>
        <v>0</v>
      </c>
      <c r="M19" s="17">
        <v>0</v>
      </c>
      <c r="N19" s="15">
        <f t="shared" si="8"/>
        <v>0</v>
      </c>
      <c r="O19" s="15">
        <f t="shared" si="9"/>
        <v>0</v>
      </c>
      <c r="P19" s="3">
        <v>0.5</v>
      </c>
      <c r="Q19" s="15">
        <f t="shared" si="10"/>
        <v>15</v>
      </c>
      <c r="R19" s="39">
        <v>2</v>
      </c>
      <c r="S19" s="15">
        <f t="shared" si="11"/>
        <v>1</v>
      </c>
      <c r="T19" s="15">
        <f t="shared" si="12"/>
        <v>30</v>
      </c>
      <c r="U19" s="4">
        <f t="shared" si="13"/>
        <v>1</v>
      </c>
      <c r="V19" s="3">
        <f t="shared" si="14"/>
        <v>30</v>
      </c>
      <c r="W19" s="20"/>
    </row>
    <row r="20" spans="1:23" x14ac:dyDescent="0.3">
      <c r="A20" s="7"/>
      <c r="B20" s="62" t="s">
        <v>45</v>
      </c>
      <c r="C20" s="13" t="s">
        <v>17</v>
      </c>
      <c r="D20" s="64">
        <v>30</v>
      </c>
      <c r="E20" s="64">
        <v>12</v>
      </c>
      <c r="F20" s="64"/>
      <c r="G20" s="64" t="s">
        <v>20</v>
      </c>
      <c r="H20" s="64">
        <v>4</v>
      </c>
      <c r="I20" s="15">
        <v>120</v>
      </c>
      <c r="J20" s="15">
        <v>45</v>
      </c>
      <c r="K20" s="3">
        <v>0.5</v>
      </c>
      <c r="L20" s="15">
        <f t="shared" ref="L20:L68" si="15">K20*30</f>
        <v>15</v>
      </c>
      <c r="M20" s="17">
        <v>1</v>
      </c>
      <c r="N20" s="15">
        <f t="shared" ref="N20:N68" si="16">K20*M20</f>
        <v>0.5</v>
      </c>
      <c r="O20" s="15">
        <f t="shared" ref="O20:O68" si="17">L20*M20</f>
        <v>15</v>
      </c>
      <c r="P20" s="3">
        <v>1</v>
      </c>
      <c r="Q20" s="15">
        <f t="shared" ref="Q20:Q68" si="18">P20*30</f>
        <v>30</v>
      </c>
      <c r="R20" s="39">
        <v>1</v>
      </c>
      <c r="S20" s="15">
        <f t="shared" ref="S20:S68" si="19">P20*R20</f>
        <v>1</v>
      </c>
      <c r="T20" s="15">
        <f t="shared" ref="T20:T68" si="20">Q20*R20</f>
        <v>30</v>
      </c>
      <c r="U20" s="4">
        <f t="shared" ref="U20:U68" si="21">N20+S20</f>
        <v>1.5</v>
      </c>
      <c r="V20" s="3">
        <f t="shared" ref="V20:V68" si="22">O20+T20</f>
        <v>45</v>
      </c>
      <c r="W20" s="19"/>
    </row>
    <row r="21" spans="1:23" x14ac:dyDescent="0.3">
      <c r="A21" s="7"/>
      <c r="B21" s="63"/>
      <c r="C21" s="13" t="s">
        <v>18</v>
      </c>
      <c r="D21" s="65"/>
      <c r="E21" s="65"/>
      <c r="F21" s="65"/>
      <c r="G21" s="65"/>
      <c r="H21" s="66"/>
      <c r="I21" s="15">
        <v>120</v>
      </c>
      <c r="J21" s="15">
        <v>45</v>
      </c>
      <c r="K21" s="3">
        <v>0.5</v>
      </c>
      <c r="L21" s="15">
        <f t="shared" si="15"/>
        <v>15</v>
      </c>
      <c r="M21" s="17">
        <v>1</v>
      </c>
      <c r="N21" s="15">
        <f t="shared" si="16"/>
        <v>0.5</v>
      </c>
      <c r="O21" s="15">
        <f t="shared" si="17"/>
        <v>15</v>
      </c>
      <c r="P21" s="3">
        <v>1</v>
      </c>
      <c r="Q21" s="15">
        <f t="shared" si="18"/>
        <v>30</v>
      </c>
      <c r="R21" s="9">
        <v>1</v>
      </c>
      <c r="S21" s="15">
        <f t="shared" si="19"/>
        <v>1</v>
      </c>
      <c r="T21" s="15">
        <f t="shared" si="20"/>
        <v>30</v>
      </c>
      <c r="U21" s="4">
        <f t="shared" si="21"/>
        <v>1.5</v>
      </c>
      <c r="V21" s="3">
        <f t="shared" si="22"/>
        <v>45</v>
      </c>
      <c r="W21" s="19"/>
    </row>
    <row r="22" spans="1:23" ht="39.6" customHeight="1" x14ac:dyDescent="0.3">
      <c r="A22" s="7"/>
      <c r="B22" s="62" t="s">
        <v>44</v>
      </c>
      <c r="C22" s="13" t="s">
        <v>17</v>
      </c>
      <c r="D22" s="65"/>
      <c r="E22" s="65"/>
      <c r="F22" s="65"/>
      <c r="G22" s="65"/>
      <c r="H22" s="64">
        <v>4</v>
      </c>
      <c r="I22" s="15">
        <v>120</v>
      </c>
      <c r="J22" s="15">
        <v>45</v>
      </c>
      <c r="K22" s="3">
        <v>0.5</v>
      </c>
      <c r="L22" s="15">
        <f t="shared" si="15"/>
        <v>15</v>
      </c>
      <c r="M22" s="17">
        <v>1</v>
      </c>
      <c r="N22" s="15">
        <f t="shared" si="16"/>
        <v>0.5</v>
      </c>
      <c r="O22" s="15">
        <f t="shared" si="17"/>
        <v>15</v>
      </c>
      <c r="P22" s="3">
        <v>1</v>
      </c>
      <c r="Q22" s="15">
        <f t="shared" si="18"/>
        <v>30</v>
      </c>
      <c r="R22" s="9">
        <v>1</v>
      </c>
      <c r="S22" s="15">
        <f t="shared" si="19"/>
        <v>1</v>
      </c>
      <c r="T22" s="15">
        <f t="shared" si="20"/>
        <v>30</v>
      </c>
      <c r="U22" s="4">
        <f t="shared" si="21"/>
        <v>1.5</v>
      </c>
      <c r="V22" s="3">
        <f t="shared" si="22"/>
        <v>45</v>
      </c>
      <c r="W22" s="19"/>
    </row>
    <row r="23" spans="1:23" ht="37.200000000000003" customHeight="1" x14ac:dyDescent="0.3">
      <c r="A23" s="7"/>
      <c r="B23" s="63"/>
      <c r="C23" s="13" t="s">
        <v>18</v>
      </c>
      <c r="D23" s="66"/>
      <c r="E23" s="66"/>
      <c r="F23" s="66"/>
      <c r="G23" s="66"/>
      <c r="H23" s="66"/>
      <c r="I23" s="15">
        <v>120</v>
      </c>
      <c r="J23" s="15">
        <v>45</v>
      </c>
      <c r="K23" s="3">
        <v>0.5</v>
      </c>
      <c r="L23" s="15">
        <f t="shared" si="15"/>
        <v>15</v>
      </c>
      <c r="M23" s="17">
        <v>1</v>
      </c>
      <c r="N23" s="15">
        <f t="shared" si="16"/>
        <v>0.5</v>
      </c>
      <c r="O23" s="15">
        <f t="shared" si="17"/>
        <v>15</v>
      </c>
      <c r="P23" s="3">
        <v>1</v>
      </c>
      <c r="Q23" s="15">
        <f t="shared" si="18"/>
        <v>30</v>
      </c>
      <c r="R23" s="9">
        <v>1</v>
      </c>
      <c r="S23" s="15">
        <f t="shared" si="19"/>
        <v>1</v>
      </c>
      <c r="T23" s="15">
        <f t="shared" si="20"/>
        <v>30</v>
      </c>
      <c r="U23" s="4">
        <f t="shared" si="21"/>
        <v>1.5</v>
      </c>
      <c r="V23" s="3">
        <f t="shared" si="22"/>
        <v>45</v>
      </c>
      <c r="W23" s="19"/>
    </row>
    <row r="24" spans="1:23" x14ac:dyDescent="0.3">
      <c r="A24" s="7"/>
      <c r="B24" s="14" t="s">
        <v>79</v>
      </c>
      <c r="C24" s="64" t="s">
        <v>17</v>
      </c>
      <c r="D24" s="64">
        <v>41</v>
      </c>
      <c r="E24" s="64"/>
      <c r="F24" s="64"/>
      <c r="G24" s="64" t="s">
        <v>105</v>
      </c>
      <c r="H24" s="12">
        <v>3</v>
      </c>
      <c r="I24" s="15">
        <v>90</v>
      </c>
      <c r="J24" s="15">
        <v>30</v>
      </c>
      <c r="K24" s="3">
        <v>0.5</v>
      </c>
      <c r="L24" s="15">
        <f t="shared" si="15"/>
        <v>15</v>
      </c>
      <c r="M24" s="17">
        <v>1</v>
      </c>
      <c r="N24" s="15">
        <f t="shared" si="16"/>
        <v>0.5</v>
      </c>
      <c r="O24" s="15">
        <f t="shared" si="17"/>
        <v>15</v>
      </c>
      <c r="P24" s="3">
        <v>0.5</v>
      </c>
      <c r="Q24" s="15">
        <f t="shared" si="18"/>
        <v>15</v>
      </c>
      <c r="R24" s="17">
        <v>2</v>
      </c>
      <c r="S24" s="15">
        <f t="shared" si="19"/>
        <v>1</v>
      </c>
      <c r="T24" s="15">
        <f t="shared" si="20"/>
        <v>30</v>
      </c>
      <c r="U24" s="4">
        <f t="shared" si="21"/>
        <v>1.5</v>
      </c>
      <c r="V24" s="3">
        <f t="shared" si="22"/>
        <v>45</v>
      </c>
      <c r="W24" s="19"/>
    </row>
    <row r="25" spans="1:23" x14ac:dyDescent="0.3">
      <c r="A25" s="7"/>
      <c r="B25" s="14" t="s">
        <v>80</v>
      </c>
      <c r="C25" s="65"/>
      <c r="D25" s="65"/>
      <c r="E25" s="65"/>
      <c r="F25" s="65"/>
      <c r="G25" s="65"/>
      <c r="H25" s="12">
        <v>4</v>
      </c>
      <c r="I25" s="15">
        <v>120</v>
      </c>
      <c r="J25" s="15">
        <v>45</v>
      </c>
      <c r="K25" s="3">
        <v>0.5</v>
      </c>
      <c r="L25" s="15">
        <f t="shared" si="15"/>
        <v>15</v>
      </c>
      <c r="M25" s="17">
        <v>1</v>
      </c>
      <c r="N25" s="15">
        <f t="shared" si="16"/>
        <v>0.5</v>
      </c>
      <c r="O25" s="15">
        <f t="shared" si="17"/>
        <v>15</v>
      </c>
      <c r="P25" s="3">
        <v>1</v>
      </c>
      <c r="Q25" s="15">
        <f t="shared" si="18"/>
        <v>30</v>
      </c>
      <c r="R25" s="17">
        <v>2</v>
      </c>
      <c r="S25" s="15">
        <f t="shared" si="19"/>
        <v>2</v>
      </c>
      <c r="T25" s="15">
        <f t="shared" si="20"/>
        <v>60</v>
      </c>
      <c r="U25" s="4">
        <f t="shared" si="21"/>
        <v>2.5</v>
      </c>
      <c r="V25" s="3">
        <f t="shared" si="22"/>
        <v>75</v>
      </c>
      <c r="W25" s="19"/>
    </row>
    <row r="26" spans="1:23" ht="36" x14ac:dyDescent="0.3">
      <c r="A26" s="7"/>
      <c r="B26" s="14" t="s">
        <v>81</v>
      </c>
      <c r="C26" s="65"/>
      <c r="D26" s="65"/>
      <c r="E26" s="65"/>
      <c r="F26" s="65"/>
      <c r="G26" s="65"/>
      <c r="H26" s="12">
        <v>4</v>
      </c>
      <c r="I26" s="15">
        <v>120</v>
      </c>
      <c r="J26" s="15">
        <v>45</v>
      </c>
      <c r="K26" s="3">
        <v>0.5</v>
      </c>
      <c r="L26" s="15">
        <f t="shared" si="15"/>
        <v>15</v>
      </c>
      <c r="M26" s="17">
        <v>1</v>
      </c>
      <c r="N26" s="15">
        <f t="shared" si="16"/>
        <v>0.5</v>
      </c>
      <c r="O26" s="15">
        <f t="shared" si="17"/>
        <v>15</v>
      </c>
      <c r="P26" s="3">
        <v>1</v>
      </c>
      <c r="Q26" s="15">
        <f t="shared" si="18"/>
        <v>30</v>
      </c>
      <c r="R26" s="17">
        <v>2</v>
      </c>
      <c r="S26" s="15">
        <f t="shared" si="19"/>
        <v>2</v>
      </c>
      <c r="T26" s="15">
        <f t="shared" si="20"/>
        <v>60</v>
      </c>
      <c r="U26" s="4">
        <f t="shared" si="21"/>
        <v>2.5</v>
      </c>
      <c r="V26" s="3">
        <f t="shared" si="22"/>
        <v>75</v>
      </c>
      <c r="W26" s="19"/>
    </row>
    <row r="27" spans="1:23" ht="95.25" customHeight="1" x14ac:dyDescent="0.3">
      <c r="A27" s="7"/>
      <c r="B27" s="14" t="s">
        <v>82</v>
      </c>
      <c r="C27" s="66"/>
      <c r="D27" s="65"/>
      <c r="E27" s="65"/>
      <c r="F27" s="65"/>
      <c r="G27" s="65"/>
      <c r="H27" s="12">
        <v>4</v>
      </c>
      <c r="I27" s="15">
        <v>120</v>
      </c>
      <c r="J27" s="15">
        <v>45</v>
      </c>
      <c r="K27" s="3">
        <v>0.5</v>
      </c>
      <c r="L27" s="15">
        <f t="shared" si="15"/>
        <v>15</v>
      </c>
      <c r="M27" s="17">
        <v>1</v>
      </c>
      <c r="N27" s="15">
        <f t="shared" si="16"/>
        <v>0.5</v>
      </c>
      <c r="O27" s="15">
        <f t="shared" si="17"/>
        <v>15</v>
      </c>
      <c r="P27" s="3">
        <v>1</v>
      </c>
      <c r="Q27" s="15">
        <f t="shared" si="18"/>
        <v>30</v>
      </c>
      <c r="R27" s="17">
        <v>2</v>
      </c>
      <c r="S27" s="15">
        <f t="shared" si="19"/>
        <v>2</v>
      </c>
      <c r="T27" s="15">
        <f t="shared" si="20"/>
        <v>60</v>
      </c>
      <c r="U27" s="4">
        <f t="shared" si="21"/>
        <v>2.5</v>
      </c>
      <c r="V27" s="3">
        <f t="shared" si="22"/>
        <v>75</v>
      </c>
      <c r="W27" s="19"/>
    </row>
    <row r="28" spans="1:23" x14ac:dyDescent="0.3">
      <c r="A28" s="7"/>
      <c r="B28" s="62" t="s">
        <v>76</v>
      </c>
      <c r="C28" s="13" t="s">
        <v>17</v>
      </c>
      <c r="D28" s="64">
        <v>90</v>
      </c>
      <c r="E28" s="64">
        <v>8</v>
      </c>
      <c r="F28" s="64"/>
      <c r="G28" s="64" t="s">
        <v>106</v>
      </c>
      <c r="H28" s="64">
        <v>4</v>
      </c>
      <c r="I28" s="15">
        <v>120</v>
      </c>
      <c r="J28" s="15">
        <v>45</v>
      </c>
      <c r="K28" s="3">
        <v>0.5</v>
      </c>
      <c r="L28" s="15">
        <f t="shared" si="15"/>
        <v>15</v>
      </c>
      <c r="M28" s="17">
        <v>1</v>
      </c>
      <c r="N28" s="15">
        <f t="shared" si="16"/>
        <v>0.5</v>
      </c>
      <c r="O28" s="15">
        <f t="shared" si="17"/>
        <v>15</v>
      </c>
      <c r="P28" s="3">
        <v>1</v>
      </c>
      <c r="Q28" s="15">
        <f t="shared" si="18"/>
        <v>30</v>
      </c>
      <c r="R28" s="17">
        <v>3</v>
      </c>
      <c r="S28" s="15">
        <f t="shared" si="19"/>
        <v>3</v>
      </c>
      <c r="T28" s="15">
        <f t="shared" si="20"/>
        <v>90</v>
      </c>
      <c r="U28" s="4">
        <f t="shared" si="21"/>
        <v>3.5</v>
      </c>
      <c r="V28" s="3">
        <f t="shared" si="22"/>
        <v>105</v>
      </c>
      <c r="W28" s="19"/>
    </row>
    <row r="29" spans="1:23" x14ac:dyDescent="0.3">
      <c r="A29" s="7"/>
      <c r="B29" s="63"/>
      <c r="C29" s="13" t="s">
        <v>18</v>
      </c>
      <c r="D29" s="65"/>
      <c r="E29" s="65"/>
      <c r="F29" s="65"/>
      <c r="G29" s="65"/>
      <c r="H29" s="66"/>
      <c r="I29" s="15">
        <v>120</v>
      </c>
      <c r="J29" s="15">
        <v>45</v>
      </c>
      <c r="K29" s="3">
        <v>0.5</v>
      </c>
      <c r="L29" s="15">
        <f t="shared" si="15"/>
        <v>15</v>
      </c>
      <c r="M29" s="17">
        <v>1</v>
      </c>
      <c r="N29" s="15">
        <f t="shared" si="16"/>
        <v>0.5</v>
      </c>
      <c r="O29" s="15">
        <f t="shared" si="17"/>
        <v>15</v>
      </c>
      <c r="P29" s="3">
        <v>1</v>
      </c>
      <c r="Q29" s="15">
        <f t="shared" si="18"/>
        <v>30</v>
      </c>
      <c r="R29" s="17">
        <v>1</v>
      </c>
      <c r="S29" s="15">
        <f t="shared" si="19"/>
        <v>1</v>
      </c>
      <c r="T29" s="15">
        <f t="shared" si="20"/>
        <v>30</v>
      </c>
      <c r="U29" s="4">
        <f t="shared" si="21"/>
        <v>1.5</v>
      </c>
      <c r="V29" s="3">
        <f t="shared" si="22"/>
        <v>45</v>
      </c>
      <c r="W29" s="19"/>
    </row>
    <row r="30" spans="1:23" ht="18" customHeight="1" x14ac:dyDescent="0.3">
      <c r="A30" s="7"/>
      <c r="B30" s="62" t="s">
        <v>86</v>
      </c>
      <c r="C30" s="13" t="s">
        <v>17</v>
      </c>
      <c r="D30" s="65"/>
      <c r="E30" s="65"/>
      <c r="F30" s="65"/>
      <c r="G30" s="65"/>
      <c r="H30" s="64">
        <v>4</v>
      </c>
      <c r="I30" s="15">
        <v>120</v>
      </c>
      <c r="J30" s="15">
        <v>45</v>
      </c>
      <c r="K30" s="3">
        <v>0.5</v>
      </c>
      <c r="L30" s="15">
        <f t="shared" si="15"/>
        <v>15</v>
      </c>
      <c r="M30" s="17">
        <v>1</v>
      </c>
      <c r="N30" s="15">
        <f t="shared" si="16"/>
        <v>0.5</v>
      </c>
      <c r="O30" s="15">
        <f t="shared" si="17"/>
        <v>15</v>
      </c>
      <c r="P30" s="3">
        <v>1</v>
      </c>
      <c r="Q30" s="15">
        <f t="shared" si="18"/>
        <v>30</v>
      </c>
      <c r="R30" s="17">
        <v>3</v>
      </c>
      <c r="S30" s="15">
        <f t="shared" si="19"/>
        <v>3</v>
      </c>
      <c r="T30" s="15">
        <f t="shared" si="20"/>
        <v>90</v>
      </c>
      <c r="U30" s="4">
        <f t="shared" si="21"/>
        <v>3.5</v>
      </c>
      <c r="V30" s="3">
        <f t="shared" si="22"/>
        <v>105</v>
      </c>
      <c r="W30" s="19"/>
    </row>
    <row r="31" spans="1:23" x14ac:dyDescent="0.3">
      <c r="A31" s="7"/>
      <c r="B31" s="63"/>
      <c r="C31" s="13" t="s">
        <v>18</v>
      </c>
      <c r="D31" s="65"/>
      <c r="E31" s="65"/>
      <c r="F31" s="65"/>
      <c r="G31" s="65"/>
      <c r="H31" s="66"/>
      <c r="I31" s="15">
        <v>120</v>
      </c>
      <c r="J31" s="15">
        <v>45</v>
      </c>
      <c r="K31" s="3">
        <v>0.5</v>
      </c>
      <c r="L31" s="15">
        <f t="shared" si="15"/>
        <v>15</v>
      </c>
      <c r="M31" s="17">
        <v>1</v>
      </c>
      <c r="N31" s="15">
        <f t="shared" si="16"/>
        <v>0.5</v>
      </c>
      <c r="O31" s="15">
        <f t="shared" si="17"/>
        <v>15</v>
      </c>
      <c r="P31" s="3">
        <v>1</v>
      </c>
      <c r="Q31" s="15">
        <f t="shared" si="18"/>
        <v>30</v>
      </c>
      <c r="R31" s="17">
        <v>1</v>
      </c>
      <c r="S31" s="15">
        <f t="shared" si="19"/>
        <v>1</v>
      </c>
      <c r="T31" s="15">
        <f t="shared" si="20"/>
        <v>30</v>
      </c>
      <c r="U31" s="4">
        <f t="shared" si="21"/>
        <v>1.5</v>
      </c>
      <c r="V31" s="3">
        <f t="shared" si="22"/>
        <v>45</v>
      </c>
      <c r="W31" s="19"/>
    </row>
    <row r="32" spans="1:23" ht="18" customHeight="1" x14ac:dyDescent="0.3">
      <c r="B32" s="62" t="s">
        <v>87</v>
      </c>
      <c r="C32" s="13" t="s">
        <v>17</v>
      </c>
      <c r="D32" s="65"/>
      <c r="E32" s="65"/>
      <c r="F32" s="65"/>
      <c r="G32" s="65"/>
      <c r="H32" s="64">
        <v>4</v>
      </c>
      <c r="I32" s="15">
        <v>120</v>
      </c>
      <c r="J32" s="15">
        <v>45</v>
      </c>
      <c r="K32" s="3">
        <v>0.5</v>
      </c>
      <c r="L32" s="15">
        <f t="shared" si="15"/>
        <v>15</v>
      </c>
      <c r="M32" s="17">
        <v>1</v>
      </c>
      <c r="N32" s="15">
        <f t="shared" si="16"/>
        <v>0.5</v>
      </c>
      <c r="O32" s="15">
        <f t="shared" si="17"/>
        <v>15</v>
      </c>
      <c r="P32" s="3">
        <v>1</v>
      </c>
      <c r="Q32" s="15">
        <f t="shared" si="18"/>
        <v>30</v>
      </c>
      <c r="R32" s="17">
        <v>3</v>
      </c>
      <c r="S32" s="15">
        <f t="shared" si="19"/>
        <v>3</v>
      </c>
      <c r="T32" s="15">
        <f t="shared" si="20"/>
        <v>90</v>
      </c>
      <c r="U32" s="4">
        <f t="shared" si="21"/>
        <v>3.5</v>
      </c>
      <c r="V32" s="3">
        <f t="shared" si="22"/>
        <v>105</v>
      </c>
      <c r="W32" s="19"/>
    </row>
    <row r="33" spans="1:23" x14ac:dyDescent="0.3">
      <c r="B33" s="63"/>
      <c r="C33" s="13" t="s">
        <v>18</v>
      </c>
      <c r="D33" s="65"/>
      <c r="E33" s="65"/>
      <c r="F33" s="65"/>
      <c r="G33" s="65"/>
      <c r="H33" s="66"/>
      <c r="I33" s="15">
        <v>120</v>
      </c>
      <c r="J33" s="15">
        <v>45</v>
      </c>
      <c r="K33" s="3">
        <v>0.5</v>
      </c>
      <c r="L33" s="15">
        <f t="shared" si="15"/>
        <v>15</v>
      </c>
      <c r="M33" s="17">
        <v>1</v>
      </c>
      <c r="N33" s="15">
        <f t="shared" si="16"/>
        <v>0.5</v>
      </c>
      <c r="O33" s="15">
        <f t="shared" si="17"/>
        <v>15</v>
      </c>
      <c r="P33" s="3">
        <v>1</v>
      </c>
      <c r="Q33" s="15">
        <f t="shared" si="18"/>
        <v>30</v>
      </c>
      <c r="R33" s="17">
        <v>1</v>
      </c>
      <c r="S33" s="15">
        <f t="shared" si="19"/>
        <v>1</v>
      </c>
      <c r="T33" s="15">
        <f t="shared" si="20"/>
        <v>30</v>
      </c>
      <c r="U33" s="4">
        <f t="shared" si="21"/>
        <v>1.5</v>
      </c>
      <c r="V33" s="3">
        <f t="shared" si="22"/>
        <v>45</v>
      </c>
      <c r="W33" s="19"/>
    </row>
    <row r="34" spans="1:23" ht="37.200000000000003" customHeight="1" x14ac:dyDescent="0.3">
      <c r="B34" s="62" t="s">
        <v>88</v>
      </c>
      <c r="C34" s="13" t="s">
        <v>17</v>
      </c>
      <c r="D34" s="65"/>
      <c r="E34" s="65"/>
      <c r="F34" s="65"/>
      <c r="G34" s="65"/>
      <c r="H34" s="64">
        <v>4</v>
      </c>
      <c r="I34" s="15">
        <v>120</v>
      </c>
      <c r="J34" s="15">
        <v>45</v>
      </c>
      <c r="K34" s="3">
        <v>0.5</v>
      </c>
      <c r="L34" s="15">
        <f t="shared" si="15"/>
        <v>15</v>
      </c>
      <c r="M34" s="17">
        <v>1</v>
      </c>
      <c r="N34" s="15">
        <f t="shared" si="16"/>
        <v>0.5</v>
      </c>
      <c r="O34" s="15">
        <f t="shared" si="17"/>
        <v>15</v>
      </c>
      <c r="P34" s="3">
        <v>1</v>
      </c>
      <c r="Q34" s="15">
        <f t="shared" si="18"/>
        <v>30</v>
      </c>
      <c r="R34" s="17">
        <v>3</v>
      </c>
      <c r="S34" s="15">
        <f t="shared" si="19"/>
        <v>3</v>
      </c>
      <c r="T34" s="15">
        <f t="shared" si="20"/>
        <v>90</v>
      </c>
      <c r="U34" s="4">
        <f t="shared" si="21"/>
        <v>3.5</v>
      </c>
      <c r="V34" s="3">
        <f t="shared" si="22"/>
        <v>105</v>
      </c>
      <c r="W34" s="19"/>
    </row>
    <row r="35" spans="1:23" ht="31.2" customHeight="1" x14ac:dyDescent="0.3">
      <c r="B35" s="63"/>
      <c r="C35" s="13" t="s">
        <v>18</v>
      </c>
      <c r="D35" s="66"/>
      <c r="E35" s="66"/>
      <c r="F35" s="66"/>
      <c r="G35" s="66"/>
      <c r="H35" s="66"/>
      <c r="I35" s="15">
        <v>120</v>
      </c>
      <c r="J35" s="15">
        <v>45</v>
      </c>
      <c r="K35" s="3">
        <v>0.5</v>
      </c>
      <c r="L35" s="15">
        <f t="shared" si="15"/>
        <v>15</v>
      </c>
      <c r="M35" s="17">
        <v>1</v>
      </c>
      <c r="N35" s="15">
        <f t="shared" si="16"/>
        <v>0.5</v>
      </c>
      <c r="O35" s="15">
        <f t="shared" si="17"/>
        <v>15</v>
      </c>
      <c r="P35" s="3">
        <v>1</v>
      </c>
      <c r="Q35" s="15">
        <f t="shared" si="18"/>
        <v>30</v>
      </c>
      <c r="R35" s="17">
        <v>1</v>
      </c>
      <c r="S35" s="15">
        <f t="shared" si="19"/>
        <v>1</v>
      </c>
      <c r="T35" s="15">
        <f t="shared" si="20"/>
        <v>30</v>
      </c>
      <c r="U35" s="4">
        <f t="shared" si="21"/>
        <v>1.5</v>
      </c>
      <c r="V35" s="3">
        <f t="shared" si="22"/>
        <v>45</v>
      </c>
      <c r="W35" s="19"/>
    </row>
    <row r="36" spans="1:23" ht="36" x14ac:dyDescent="0.3">
      <c r="B36" s="14" t="s">
        <v>33</v>
      </c>
      <c r="C36" s="64" t="s">
        <v>17</v>
      </c>
      <c r="D36" s="64">
        <v>25</v>
      </c>
      <c r="E36" s="64"/>
      <c r="F36" s="64"/>
      <c r="G36" s="64" t="s">
        <v>21</v>
      </c>
      <c r="H36" s="12">
        <v>4</v>
      </c>
      <c r="I36" s="15">
        <v>120</v>
      </c>
      <c r="J36" s="15">
        <v>45</v>
      </c>
      <c r="K36" s="3">
        <v>0</v>
      </c>
      <c r="L36" s="15">
        <f t="shared" si="15"/>
        <v>0</v>
      </c>
      <c r="M36" s="17">
        <v>0</v>
      </c>
      <c r="N36" s="15">
        <f t="shared" si="16"/>
        <v>0</v>
      </c>
      <c r="O36" s="15">
        <f t="shared" si="17"/>
        <v>0</v>
      </c>
      <c r="P36" s="3">
        <v>1.5</v>
      </c>
      <c r="Q36" s="15">
        <f t="shared" si="18"/>
        <v>45</v>
      </c>
      <c r="R36" s="17">
        <v>12</v>
      </c>
      <c r="S36" s="15">
        <f t="shared" si="19"/>
        <v>18</v>
      </c>
      <c r="T36" s="15">
        <f t="shared" si="20"/>
        <v>540</v>
      </c>
      <c r="U36" s="4">
        <f t="shared" si="21"/>
        <v>18</v>
      </c>
      <c r="V36" s="3">
        <f t="shared" si="22"/>
        <v>540</v>
      </c>
      <c r="W36" s="34" t="s">
        <v>536</v>
      </c>
    </row>
    <row r="37" spans="1:23" ht="54" x14ac:dyDescent="0.3">
      <c r="B37" s="14" t="s">
        <v>109</v>
      </c>
      <c r="C37" s="66"/>
      <c r="D37" s="65"/>
      <c r="E37" s="65"/>
      <c r="F37" s="65"/>
      <c r="G37" s="65"/>
      <c r="H37" s="12">
        <v>4</v>
      </c>
      <c r="I37" s="15">
        <v>120</v>
      </c>
      <c r="J37" s="15">
        <v>45</v>
      </c>
      <c r="K37" s="3">
        <v>0</v>
      </c>
      <c r="L37" s="15">
        <f t="shared" si="15"/>
        <v>0</v>
      </c>
      <c r="M37" s="17">
        <v>0</v>
      </c>
      <c r="N37" s="15">
        <f t="shared" si="16"/>
        <v>0</v>
      </c>
      <c r="O37" s="15">
        <f t="shared" si="17"/>
        <v>0</v>
      </c>
      <c r="P37" s="3">
        <v>1.5</v>
      </c>
      <c r="Q37" s="15">
        <f t="shared" si="18"/>
        <v>45</v>
      </c>
      <c r="R37" s="17">
        <v>12</v>
      </c>
      <c r="S37" s="15">
        <f t="shared" si="19"/>
        <v>18</v>
      </c>
      <c r="T37" s="15">
        <f t="shared" si="20"/>
        <v>540</v>
      </c>
      <c r="U37" s="4">
        <f t="shared" si="21"/>
        <v>18</v>
      </c>
      <c r="V37" s="3">
        <f t="shared" si="22"/>
        <v>540</v>
      </c>
      <c r="W37" s="34" t="s">
        <v>557</v>
      </c>
    </row>
    <row r="38" spans="1:23" ht="36" x14ac:dyDescent="0.35">
      <c r="A38" s="8"/>
      <c r="B38" s="14" t="s">
        <v>112</v>
      </c>
      <c r="C38" s="64" t="s">
        <v>17</v>
      </c>
      <c r="D38" s="64">
        <v>3</v>
      </c>
      <c r="E38" s="64"/>
      <c r="F38" s="64"/>
      <c r="G38" s="64" t="s">
        <v>110</v>
      </c>
      <c r="H38" s="16">
        <v>4</v>
      </c>
      <c r="I38" s="15">
        <v>120</v>
      </c>
      <c r="J38" s="15">
        <v>45</v>
      </c>
      <c r="K38" s="3">
        <v>0.5</v>
      </c>
      <c r="L38" s="15">
        <f t="shared" si="15"/>
        <v>15</v>
      </c>
      <c r="M38" s="17">
        <v>1</v>
      </c>
      <c r="N38" s="15">
        <f t="shared" si="16"/>
        <v>0.5</v>
      </c>
      <c r="O38" s="15">
        <f t="shared" si="17"/>
        <v>15</v>
      </c>
      <c r="P38" s="3">
        <v>1</v>
      </c>
      <c r="Q38" s="15">
        <f t="shared" si="18"/>
        <v>30</v>
      </c>
      <c r="R38" s="9">
        <v>1</v>
      </c>
      <c r="S38" s="15">
        <f t="shared" si="19"/>
        <v>1</v>
      </c>
      <c r="T38" s="15">
        <f t="shared" si="20"/>
        <v>30</v>
      </c>
      <c r="U38" s="4">
        <f t="shared" si="21"/>
        <v>1.5</v>
      </c>
      <c r="V38" s="3">
        <f t="shared" si="22"/>
        <v>45</v>
      </c>
      <c r="W38" s="10"/>
    </row>
    <row r="39" spans="1:23" ht="36" x14ac:dyDescent="0.35">
      <c r="A39" s="8"/>
      <c r="B39" s="14" t="s">
        <v>113</v>
      </c>
      <c r="C39" s="65"/>
      <c r="D39" s="65"/>
      <c r="E39" s="65"/>
      <c r="F39" s="65"/>
      <c r="G39" s="65"/>
      <c r="H39" s="16">
        <v>5</v>
      </c>
      <c r="I39" s="15">
        <v>150</v>
      </c>
      <c r="J39" s="15">
        <v>45</v>
      </c>
      <c r="K39" s="3">
        <v>0.5</v>
      </c>
      <c r="L39" s="15">
        <f t="shared" si="15"/>
        <v>15</v>
      </c>
      <c r="M39" s="17">
        <v>1</v>
      </c>
      <c r="N39" s="15">
        <f t="shared" si="16"/>
        <v>0.5</v>
      </c>
      <c r="O39" s="15">
        <f t="shared" si="17"/>
        <v>15</v>
      </c>
      <c r="P39" s="3">
        <v>1</v>
      </c>
      <c r="Q39" s="15">
        <f t="shared" si="18"/>
        <v>30</v>
      </c>
      <c r="R39" s="9">
        <v>1</v>
      </c>
      <c r="S39" s="15">
        <f t="shared" si="19"/>
        <v>1</v>
      </c>
      <c r="T39" s="15">
        <f t="shared" si="20"/>
        <v>30</v>
      </c>
      <c r="U39" s="4">
        <f t="shared" si="21"/>
        <v>1.5</v>
      </c>
      <c r="V39" s="3">
        <f t="shared" si="22"/>
        <v>45</v>
      </c>
      <c r="W39" s="10"/>
    </row>
    <row r="40" spans="1:23" ht="90" x14ac:dyDescent="0.3">
      <c r="A40" s="7"/>
      <c r="B40" s="14" t="s">
        <v>114</v>
      </c>
      <c r="C40" s="66"/>
      <c r="D40" s="65"/>
      <c r="E40" s="65"/>
      <c r="F40" s="65"/>
      <c r="G40" s="65"/>
      <c r="H40" s="12">
        <v>3</v>
      </c>
      <c r="I40" s="15">
        <v>90</v>
      </c>
      <c r="J40" s="15">
        <v>30</v>
      </c>
      <c r="K40" s="3">
        <v>0</v>
      </c>
      <c r="L40" s="15">
        <f t="shared" si="15"/>
        <v>0</v>
      </c>
      <c r="M40" s="17">
        <v>0</v>
      </c>
      <c r="N40" s="15">
        <f t="shared" si="16"/>
        <v>0</v>
      </c>
      <c r="O40" s="15">
        <f t="shared" si="17"/>
        <v>0</v>
      </c>
      <c r="P40" s="3">
        <v>1</v>
      </c>
      <c r="Q40" s="15">
        <f t="shared" si="18"/>
        <v>30</v>
      </c>
      <c r="R40" s="17">
        <v>1</v>
      </c>
      <c r="S40" s="15">
        <f t="shared" si="19"/>
        <v>1</v>
      </c>
      <c r="T40" s="15">
        <f t="shared" si="20"/>
        <v>30</v>
      </c>
      <c r="U40" s="4">
        <f t="shared" si="21"/>
        <v>1</v>
      </c>
      <c r="V40" s="3">
        <f t="shared" si="22"/>
        <v>30</v>
      </c>
      <c r="W40" s="19"/>
    </row>
    <row r="41" spans="1:23" ht="33.6" customHeight="1" x14ac:dyDescent="0.3">
      <c r="A41" s="7"/>
      <c r="B41" s="62" t="s">
        <v>92</v>
      </c>
      <c r="C41" s="13" t="s">
        <v>17</v>
      </c>
      <c r="D41" s="64">
        <v>19</v>
      </c>
      <c r="E41" s="64">
        <v>6</v>
      </c>
      <c r="F41" s="64"/>
      <c r="G41" s="64" t="s">
        <v>115</v>
      </c>
      <c r="H41" s="64">
        <v>3</v>
      </c>
      <c r="I41" s="15">
        <v>90</v>
      </c>
      <c r="J41" s="15">
        <v>30</v>
      </c>
      <c r="K41" s="3">
        <v>0.5</v>
      </c>
      <c r="L41" s="15">
        <f t="shared" si="15"/>
        <v>15</v>
      </c>
      <c r="M41" s="17">
        <v>1</v>
      </c>
      <c r="N41" s="15">
        <f t="shared" si="16"/>
        <v>0.5</v>
      </c>
      <c r="O41" s="15">
        <f t="shared" si="17"/>
        <v>15</v>
      </c>
      <c r="P41" s="3">
        <v>0.5</v>
      </c>
      <c r="Q41" s="15">
        <f t="shared" si="18"/>
        <v>15</v>
      </c>
      <c r="R41" s="17">
        <v>1</v>
      </c>
      <c r="S41" s="15">
        <f t="shared" si="19"/>
        <v>0.5</v>
      </c>
      <c r="T41" s="15">
        <f t="shared" si="20"/>
        <v>15</v>
      </c>
      <c r="U41" s="4">
        <f t="shared" si="21"/>
        <v>1</v>
      </c>
      <c r="V41" s="3">
        <f t="shared" si="22"/>
        <v>30</v>
      </c>
      <c r="W41" s="19"/>
    </row>
    <row r="42" spans="1:23" ht="40.5" customHeight="1" x14ac:dyDescent="0.3">
      <c r="A42" s="7"/>
      <c r="B42" s="63"/>
      <c r="C42" s="13" t="s">
        <v>18</v>
      </c>
      <c r="D42" s="66"/>
      <c r="E42" s="66"/>
      <c r="F42" s="66"/>
      <c r="G42" s="66"/>
      <c r="H42" s="66"/>
      <c r="I42" s="15">
        <v>90</v>
      </c>
      <c r="J42" s="15">
        <v>30</v>
      </c>
      <c r="K42" s="3">
        <v>0.5</v>
      </c>
      <c r="L42" s="15">
        <f t="shared" si="15"/>
        <v>15</v>
      </c>
      <c r="M42" s="17">
        <v>1</v>
      </c>
      <c r="N42" s="15">
        <f t="shared" si="16"/>
        <v>0.5</v>
      </c>
      <c r="O42" s="15">
        <f t="shared" si="17"/>
        <v>15</v>
      </c>
      <c r="P42" s="3">
        <v>0.5</v>
      </c>
      <c r="Q42" s="15">
        <f t="shared" si="18"/>
        <v>15</v>
      </c>
      <c r="R42" s="17">
        <v>1</v>
      </c>
      <c r="S42" s="15">
        <f t="shared" si="19"/>
        <v>0.5</v>
      </c>
      <c r="T42" s="15">
        <f t="shared" si="20"/>
        <v>15</v>
      </c>
      <c r="U42" s="4">
        <f t="shared" si="21"/>
        <v>1</v>
      </c>
      <c r="V42" s="3">
        <f t="shared" si="22"/>
        <v>30</v>
      </c>
      <c r="W42" s="19"/>
    </row>
    <row r="43" spans="1:23" x14ac:dyDescent="0.3">
      <c r="A43" s="7"/>
      <c r="B43" s="62" t="s">
        <v>76</v>
      </c>
      <c r="C43" s="13" t="s">
        <v>17</v>
      </c>
      <c r="D43" s="64">
        <v>16</v>
      </c>
      <c r="E43" s="64">
        <v>6</v>
      </c>
      <c r="F43" s="64"/>
      <c r="G43" s="64" t="s">
        <v>116</v>
      </c>
      <c r="H43" s="64">
        <v>4</v>
      </c>
      <c r="I43" s="15">
        <v>120</v>
      </c>
      <c r="J43" s="15">
        <v>45</v>
      </c>
      <c r="K43" s="3">
        <v>0.5</v>
      </c>
      <c r="L43" s="15">
        <f t="shared" si="15"/>
        <v>15</v>
      </c>
      <c r="M43" s="17">
        <v>1</v>
      </c>
      <c r="N43" s="15">
        <f t="shared" si="16"/>
        <v>0.5</v>
      </c>
      <c r="O43" s="15">
        <f t="shared" si="17"/>
        <v>15</v>
      </c>
      <c r="P43" s="3">
        <v>1</v>
      </c>
      <c r="Q43" s="15">
        <f t="shared" si="18"/>
        <v>30</v>
      </c>
      <c r="R43" s="17">
        <v>1</v>
      </c>
      <c r="S43" s="15">
        <f t="shared" si="19"/>
        <v>1</v>
      </c>
      <c r="T43" s="15">
        <f t="shared" si="20"/>
        <v>30</v>
      </c>
      <c r="U43" s="4">
        <f t="shared" si="21"/>
        <v>1.5</v>
      </c>
      <c r="V43" s="3">
        <f t="shared" si="22"/>
        <v>45</v>
      </c>
      <c r="W43" s="19"/>
    </row>
    <row r="44" spans="1:23" x14ac:dyDescent="0.3">
      <c r="A44" s="7"/>
      <c r="B44" s="63"/>
      <c r="C44" s="13" t="s">
        <v>18</v>
      </c>
      <c r="D44" s="65"/>
      <c r="E44" s="65"/>
      <c r="F44" s="65"/>
      <c r="G44" s="65"/>
      <c r="H44" s="66"/>
      <c r="I44" s="15">
        <v>120</v>
      </c>
      <c r="J44" s="15">
        <v>45</v>
      </c>
      <c r="K44" s="3">
        <v>0.5</v>
      </c>
      <c r="L44" s="15">
        <f t="shared" si="15"/>
        <v>15</v>
      </c>
      <c r="M44" s="17">
        <v>1</v>
      </c>
      <c r="N44" s="15">
        <f t="shared" si="16"/>
        <v>0.5</v>
      </c>
      <c r="O44" s="15">
        <f t="shared" si="17"/>
        <v>15</v>
      </c>
      <c r="P44" s="3">
        <v>1</v>
      </c>
      <c r="Q44" s="15">
        <f t="shared" si="18"/>
        <v>30</v>
      </c>
      <c r="R44" s="17">
        <v>1</v>
      </c>
      <c r="S44" s="15">
        <f t="shared" si="19"/>
        <v>1</v>
      </c>
      <c r="T44" s="15">
        <f t="shared" si="20"/>
        <v>30</v>
      </c>
      <c r="U44" s="4">
        <f t="shared" si="21"/>
        <v>1.5</v>
      </c>
      <c r="V44" s="3">
        <f t="shared" si="22"/>
        <v>45</v>
      </c>
      <c r="W44" s="19"/>
    </row>
    <row r="45" spans="1:23" x14ac:dyDescent="0.3">
      <c r="A45" s="7"/>
      <c r="B45" s="62" t="s">
        <v>83</v>
      </c>
      <c r="C45" s="13" t="s">
        <v>17</v>
      </c>
      <c r="D45" s="65"/>
      <c r="E45" s="65"/>
      <c r="F45" s="65"/>
      <c r="G45" s="65"/>
      <c r="H45" s="64">
        <v>5</v>
      </c>
      <c r="I45" s="15">
        <v>150</v>
      </c>
      <c r="J45" s="15">
        <v>45</v>
      </c>
      <c r="K45" s="3">
        <v>0.5</v>
      </c>
      <c r="L45" s="15">
        <f t="shared" si="15"/>
        <v>15</v>
      </c>
      <c r="M45" s="17">
        <v>1</v>
      </c>
      <c r="N45" s="15">
        <f t="shared" si="16"/>
        <v>0.5</v>
      </c>
      <c r="O45" s="15">
        <f t="shared" si="17"/>
        <v>15</v>
      </c>
      <c r="P45" s="3">
        <v>1</v>
      </c>
      <c r="Q45" s="15">
        <f t="shared" si="18"/>
        <v>30</v>
      </c>
      <c r="R45" s="17">
        <v>1</v>
      </c>
      <c r="S45" s="15">
        <f t="shared" si="19"/>
        <v>1</v>
      </c>
      <c r="T45" s="15">
        <f t="shared" si="20"/>
        <v>30</v>
      </c>
      <c r="U45" s="4">
        <f t="shared" si="21"/>
        <v>1.5</v>
      </c>
      <c r="V45" s="3">
        <f t="shared" si="22"/>
        <v>45</v>
      </c>
      <c r="W45" s="19"/>
    </row>
    <row r="46" spans="1:23" x14ac:dyDescent="0.3">
      <c r="A46" s="7"/>
      <c r="B46" s="63"/>
      <c r="C46" s="13" t="s">
        <v>18</v>
      </c>
      <c r="D46" s="65"/>
      <c r="E46" s="65"/>
      <c r="F46" s="65"/>
      <c r="G46" s="65"/>
      <c r="H46" s="66"/>
      <c r="I46" s="15">
        <v>150</v>
      </c>
      <c r="J46" s="15">
        <v>45</v>
      </c>
      <c r="K46" s="3">
        <v>0.5</v>
      </c>
      <c r="L46" s="15">
        <f t="shared" si="15"/>
        <v>15</v>
      </c>
      <c r="M46" s="17">
        <v>1</v>
      </c>
      <c r="N46" s="15">
        <f t="shared" si="16"/>
        <v>0.5</v>
      </c>
      <c r="O46" s="15">
        <f t="shared" si="17"/>
        <v>15</v>
      </c>
      <c r="P46" s="3">
        <v>1</v>
      </c>
      <c r="Q46" s="15">
        <f t="shared" si="18"/>
        <v>30</v>
      </c>
      <c r="R46" s="17">
        <v>1</v>
      </c>
      <c r="S46" s="15">
        <f t="shared" si="19"/>
        <v>1</v>
      </c>
      <c r="T46" s="15">
        <f t="shared" si="20"/>
        <v>30</v>
      </c>
      <c r="U46" s="4">
        <f t="shared" si="21"/>
        <v>1.5</v>
      </c>
      <c r="V46" s="3">
        <f t="shared" si="22"/>
        <v>45</v>
      </c>
      <c r="W46" s="19"/>
    </row>
    <row r="47" spans="1:23" ht="18" customHeight="1" x14ac:dyDescent="0.3">
      <c r="A47" s="7"/>
      <c r="B47" s="62" t="s">
        <v>93</v>
      </c>
      <c r="C47" s="13" t="s">
        <v>17</v>
      </c>
      <c r="D47" s="65"/>
      <c r="E47" s="65"/>
      <c r="F47" s="65"/>
      <c r="G47" s="65"/>
      <c r="H47" s="64">
        <v>3</v>
      </c>
      <c r="I47" s="15">
        <v>90</v>
      </c>
      <c r="J47" s="15">
        <v>30</v>
      </c>
      <c r="K47" s="3">
        <v>0</v>
      </c>
      <c r="L47" s="15">
        <f t="shared" si="15"/>
        <v>0</v>
      </c>
      <c r="M47" s="17">
        <v>0</v>
      </c>
      <c r="N47" s="15">
        <f t="shared" si="16"/>
        <v>0</v>
      </c>
      <c r="O47" s="15">
        <f t="shared" si="17"/>
        <v>0</v>
      </c>
      <c r="P47" s="3">
        <v>1</v>
      </c>
      <c r="Q47" s="15">
        <f t="shared" si="18"/>
        <v>30</v>
      </c>
      <c r="R47" s="17">
        <v>1</v>
      </c>
      <c r="S47" s="15">
        <f t="shared" si="19"/>
        <v>1</v>
      </c>
      <c r="T47" s="15">
        <f t="shared" si="20"/>
        <v>30</v>
      </c>
      <c r="U47" s="4">
        <f t="shared" si="21"/>
        <v>1</v>
      </c>
      <c r="V47" s="3">
        <f t="shared" si="22"/>
        <v>30</v>
      </c>
      <c r="W47" s="19"/>
    </row>
    <row r="48" spans="1:23" x14ac:dyDescent="0.3">
      <c r="A48" s="7"/>
      <c r="B48" s="63"/>
      <c r="C48" s="13" t="s">
        <v>18</v>
      </c>
      <c r="D48" s="66"/>
      <c r="E48" s="66"/>
      <c r="F48" s="66"/>
      <c r="G48" s="66"/>
      <c r="H48" s="66"/>
      <c r="I48" s="15">
        <v>90</v>
      </c>
      <c r="J48" s="15">
        <v>30</v>
      </c>
      <c r="K48" s="3">
        <v>0</v>
      </c>
      <c r="L48" s="15">
        <f t="shared" si="15"/>
        <v>0</v>
      </c>
      <c r="M48" s="17">
        <v>0</v>
      </c>
      <c r="N48" s="15">
        <f t="shared" si="16"/>
        <v>0</v>
      </c>
      <c r="O48" s="15">
        <f t="shared" si="17"/>
        <v>0</v>
      </c>
      <c r="P48" s="3">
        <v>1</v>
      </c>
      <c r="Q48" s="15">
        <f t="shared" si="18"/>
        <v>30</v>
      </c>
      <c r="R48" s="17">
        <v>1</v>
      </c>
      <c r="S48" s="15">
        <f t="shared" si="19"/>
        <v>1</v>
      </c>
      <c r="T48" s="15">
        <f t="shared" si="20"/>
        <v>30</v>
      </c>
      <c r="U48" s="4">
        <f t="shared" si="21"/>
        <v>1</v>
      </c>
      <c r="V48" s="3">
        <f t="shared" si="22"/>
        <v>30</v>
      </c>
      <c r="W48" s="19"/>
    </row>
    <row r="49" spans="1:24" x14ac:dyDescent="0.3">
      <c r="A49" s="7"/>
      <c r="B49" s="62" t="s">
        <v>48</v>
      </c>
      <c r="C49" s="13" t="s">
        <v>17</v>
      </c>
      <c r="D49" s="64">
        <v>156</v>
      </c>
      <c r="E49" s="64">
        <v>13</v>
      </c>
      <c r="F49" s="64"/>
      <c r="G49" s="64" t="s">
        <v>117</v>
      </c>
      <c r="H49" s="64">
        <v>4</v>
      </c>
      <c r="I49" s="15">
        <v>120</v>
      </c>
      <c r="J49" s="15">
        <v>45</v>
      </c>
      <c r="K49" s="3">
        <v>0.5</v>
      </c>
      <c r="L49" s="15">
        <f t="shared" si="15"/>
        <v>15</v>
      </c>
      <c r="M49" s="17">
        <v>2</v>
      </c>
      <c r="N49" s="15">
        <f t="shared" si="16"/>
        <v>1</v>
      </c>
      <c r="O49" s="15">
        <f t="shared" si="17"/>
        <v>30</v>
      </c>
      <c r="P49" s="3">
        <v>1</v>
      </c>
      <c r="Q49" s="15">
        <f t="shared" si="18"/>
        <v>30</v>
      </c>
      <c r="R49" s="38">
        <v>7</v>
      </c>
      <c r="S49" s="15">
        <f t="shared" si="19"/>
        <v>7</v>
      </c>
      <c r="T49" s="15">
        <f t="shared" si="20"/>
        <v>210</v>
      </c>
      <c r="U49" s="4">
        <f t="shared" si="21"/>
        <v>8</v>
      </c>
      <c r="V49" s="3">
        <f t="shared" si="22"/>
        <v>240</v>
      </c>
      <c r="W49" s="19"/>
    </row>
    <row r="50" spans="1:24" x14ac:dyDescent="0.3">
      <c r="A50" s="7"/>
      <c r="B50" s="63"/>
      <c r="C50" s="13" t="s">
        <v>18</v>
      </c>
      <c r="D50" s="65"/>
      <c r="E50" s="65"/>
      <c r="F50" s="65"/>
      <c r="G50" s="65"/>
      <c r="H50" s="66"/>
      <c r="I50" s="15">
        <v>120</v>
      </c>
      <c r="J50" s="15">
        <v>45</v>
      </c>
      <c r="K50" s="3">
        <v>0.5</v>
      </c>
      <c r="L50" s="15">
        <f t="shared" si="15"/>
        <v>15</v>
      </c>
      <c r="M50" s="17">
        <v>1</v>
      </c>
      <c r="N50" s="15">
        <f t="shared" si="16"/>
        <v>0.5</v>
      </c>
      <c r="O50" s="15">
        <f t="shared" si="17"/>
        <v>15</v>
      </c>
      <c r="P50" s="3">
        <v>1</v>
      </c>
      <c r="Q50" s="15">
        <f t="shared" si="18"/>
        <v>30</v>
      </c>
      <c r="R50" s="38">
        <v>1</v>
      </c>
      <c r="S50" s="15">
        <f t="shared" si="19"/>
        <v>1</v>
      </c>
      <c r="T50" s="15">
        <f t="shared" si="20"/>
        <v>30</v>
      </c>
      <c r="U50" s="4">
        <f t="shared" si="21"/>
        <v>1.5</v>
      </c>
      <c r="V50" s="3">
        <f t="shared" si="22"/>
        <v>45</v>
      </c>
      <c r="W50" s="19"/>
    </row>
    <row r="51" spans="1:24" x14ac:dyDescent="0.3">
      <c r="A51" s="7"/>
      <c r="B51" s="62" t="s">
        <v>49</v>
      </c>
      <c r="C51" s="13" t="s">
        <v>17</v>
      </c>
      <c r="D51" s="65"/>
      <c r="E51" s="65"/>
      <c r="F51" s="65"/>
      <c r="G51" s="65"/>
      <c r="H51" s="64">
        <v>4</v>
      </c>
      <c r="I51" s="15">
        <v>120</v>
      </c>
      <c r="J51" s="15">
        <v>45</v>
      </c>
      <c r="K51" s="3">
        <v>0.5</v>
      </c>
      <c r="L51" s="15">
        <f t="shared" si="15"/>
        <v>15</v>
      </c>
      <c r="M51" s="17">
        <v>2</v>
      </c>
      <c r="N51" s="15">
        <f t="shared" si="16"/>
        <v>1</v>
      </c>
      <c r="O51" s="15">
        <f t="shared" si="17"/>
        <v>30</v>
      </c>
      <c r="P51" s="3">
        <v>1</v>
      </c>
      <c r="Q51" s="15">
        <f t="shared" si="18"/>
        <v>30</v>
      </c>
      <c r="R51" s="38">
        <v>7</v>
      </c>
      <c r="S51" s="15">
        <f t="shared" si="19"/>
        <v>7</v>
      </c>
      <c r="T51" s="15">
        <f t="shared" si="20"/>
        <v>210</v>
      </c>
      <c r="U51" s="4">
        <f t="shared" si="21"/>
        <v>8</v>
      </c>
      <c r="V51" s="3">
        <f t="shared" si="22"/>
        <v>240</v>
      </c>
      <c r="W51" s="19"/>
    </row>
    <row r="52" spans="1:24" x14ac:dyDescent="0.3">
      <c r="A52" s="7"/>
      <c r="B52" s="63"/>
      <c r="C52" s="13" t="s">
        <v>18</v>
      </c>
      <c r="D52" s="66"/>
      <c r="E52" s="66"/>
      <c r="F52" s="66"/>
      <c r="G52" s="66"/>
      <c r="H52" s="66"/>
      <c r="I52" s="15">
        <v>120</v>
      </c>
      <c r="J52" s="15">
        <v>45</v>
      </c>
      <c r="K52" s="3">
        <v>0.5</v>
      </c>
      <c r="L52" s="15">
        <f t="shared" si="15"/>
        <v>15</v>
      </c>
      <c r="M52" s="17">
        <v>1</v>
      </c>
      <c r="N52" s="15">
        <f t="shared" si="16"/>
        <v>0.5</v>
      </c>
      <c r="O52" s="15">
        <f t="shared" si="17"/>
        <v>15</v>
      </c>
      <c r="P52" s="3">
        <v>1</v>
      </c>
      <c r="Q52" s="15">
        <f t="shared" si="18"/>
        <v>30</v>
      </c>
      <c r="R52" s="38">
        <v>1</v>
      </c>
      <c r="S52" s="15">
        <f t="shared" si="19"/>
        <v>1</v>
      </c>
      <c r="T52" s="15">
        <f t="shared" si="20"/>
        <v>30</v>
      </c>
      <c r="U52" s="4">
        <f t="shared" si="21"/>
        <v>1.5</v>
      </c>
      <c r="V52" s="3">
        <f t="shared" si="22"/>
        <v>45</v>
      </c>
      <c r="W52" s="19"/>
    </row>
    <row r="53" spans="1:24" x14ac:dyDescent="0.3">
      <c r="A53" s="7"/>
      <c r="B53" s="62" t="s">
        <v>50</v>
      </c>
      <c r="C53" s="13" t="s">
        <v>17</v>
      </c>
      <c r="D53" s="64">
        <v>31</v>
      </c>
      <c r="E53" s="64">
        <v>2</v>
      </c>
      <c r="F53" s="64"/>
      <c r="G53" s="64" t="s">
        <v>22</v>
      </c>
      <c r="H53" s="64">
        <v>3</v>
      </c>
      <c r="I53" s="15">
        <v>90</v>
      </c>
      <c r="J53" s="15">
        <v>30</v>
      </c>
      <c r="K53" s="3">
        <v>0.5</v>
      </c>
      <c r="L53" s="15">
        <f t="shared" si="15"/>
        <v>15</v>
      </c>
      <c r="M53" s="17">
        <v>1</v>
      </c>
      <c r="N53" s="15">
        <f t="shared" si="16"/>
        <v>0.5</v>
      </c>
      <c r="O53" s="15">
        <f t="shared" si="17"/>
        <v>15</v>
      </c>
      <c r="P53" s="3">
        <v>0.5</v>
      </c>
      <c r="Q53" s="15">
        <f t="shared" si="18"/>
        <v>15</v>
      </c>
      <c r="R53" s="38">
        <v>2</v>
      </c>
      <c r="S53" s="15">
        <f t="shared" si="19"/>
        <v>1</v>
      </c>
      <c r="T53" s="15">
        <f t="shared" si="20"/>
        <v>30</v>
      </c>
      <c r="U53" s="4">
        <f t="shared" si="21"/>
        <v>1.5</v>
      </c>
      <c r="V53" s="3">
        <f t="shared" si="22"/>
        <v>45</v>
      </c>
      <c r="W53" s="19" t="s">
        <v>580</v>
      </c>
    </row>
    <row r="54" spans="1:24" x14ac:dyDescent="0.3">
      <c r="A54" s="7"/>
      <c r="B54" s="63"/>
      <c r="C54" s="13" t="s">
        <v>18</v>
      </c>
      <c r="D54" s="65"/>
      <c r="E54" s="65"/>
      <c r="F54" s="65"/>
      <c r="G54" s="65"/>
      <c r="H54" s="66"/>
      <c r="I54" s="15">
        <v>90</v>
      </c>
      <c r="J54" s="15">
        <v>30</v>
      </c>
      <c r="K54" s="3">
        <v>0.5</v>
      </c>
      <c r="L54" s="15">
        <f t="shared" si="15"/>
        <v>15</v>
      </c>
      <c r="M54" s="17">
        <v>1</v>
      </c>
      <c r="N54" s="15">
        <f t="shared" si="16"/>
        <v>0.5</v>
      </c>
      <c r="O54" s="15">
        <f t="shared" si="17"/>
        <v>15</v>
      </c>
      <c r="P54" s="3">
        <v>0.5</v>
      </c>
      <c r="Q54" s="15">
        <f t="shared" si="18"/>
        <v>15</v>
      </c>
      <c r="R54" s="38">
        <v>1</v>
      </c>
      <c r="S54" s="15">
        <f t="shared" si="19"/>
        <v>0.5</v>
      </c>
      <c r="T54" s="15">
        <f t="shared" si="20"/>
        <v>15</v>
      </c>
      <c r="U54" s="4">
        <f t="shared" si="21"/>
        <v>1</v>
      </c>
      <c r="V54" s="3">
        <f t="shared" si="22"/>
        <v>30</v>
      </c>
      <c r="W54" s="19" t="s">
        <v>580</v>
      </c>
    </row>
    <row r="55" spans="1:24" x14ac:dyDescent="0.3">
      <c r="B55" s="62" t="s">
        <v>51</v>
      </c>
      <c r="C55" s="13" t="s">
        <v>17</v>
      </c>
      <c r="D55" s="65"/>
      <c r="E55" s="65"/>
      <c r="F55" s="65"/>
      <c r="G55" s="65"/>
      <c r="H55" s="64">
        <v>5</v>
      </c>
      <c r="I55" s="15">
        <v>150</v>
      </c>
      <c r="J55" s="15">
        <v>45</v>
      </c>
      <c r="K55" s="3">
        <v>0.5</v>
      </c>
      <c r="L55" s="15">
        <f t="shared" si="15"/>
        <v>15</v>
      </c>
      <c r="M55" s="17">
        <v>1</v>
      </c>
      <c r="N55" s="15">
        <f t="shared" si="16"/>
        <v>0.5</v>
      </c>
      <c r="O55" s="15">
        <f t="shared" si="17"/>
        <v>15</v>
      </c>
      <c r="P55" s="3">
        <v>1</v>
      </c>
      <c r="Q55" s="15">
        <f t="shared" si="18"/>
        <v>30</v>
      </c>
      <c r="R55" s="38">
        <v>2</v>
      </c>
      <c r="S55" s="15">
        <f t="shared" si="19"/>
        <v>2</v>
      </c>
      <c r="T55" s="15">
        <f t="shared" si="20"/>
        <v>60</v>
      </c>
      <c r="U55" s="4">
        <f t="shared" si="21"/>
        <v>2.5</v>
      </c>
      <c r="V55" s="3">
        <f t="shared" si="22"/>
        <v>75</v>
      </c>
      <c r="W55" s="19" t="s">
        <v>590</v>
      </c>
    </row>
    <row r="56" spans="1:24" x14ac:dyDescent="0.3">
      <c r="B56" s="63"/>
      <c r="C56" s="13" t="s">
        <v>18</v>
      </c>
      <c r="D56" s="66"/>
      <c r="E56" s="66"/>
      <c r="F56" s="66"/>
      <c r="G56" s="66"/>
      <c r="H56" s="66"/>
      <c r="I56" s="15">
        <v>150</v>
      </c>
      <c r="J56" s="15">
        <v>45</v>
      </c>
      <c r="K56" s="3">
        <v>0.5</v>
      </c>
      <c r="L56" s="15">
        <f t="shared" si="15"/>
        <v>15</v>
      </c>
      <c r="M56" s="17">
        <v>1</v>
      </c>
      <c r="N56" s="15">
        <f t="shared" si="16"/>
        <v>0.5</v>
      </c>
      <c r="O56" s="15">
        <f t="shared" si="17"/>
        <v>15</v>
      </c>
      <c r="P56" s="3">
        <v>1</v>
      </c>
      <c r="Q56" s="15">
        <f t="shared" si="18"/>
        <v>30</v>
      </c>
      <c r="R56" s="17">
        <v>1</v>
      </c>
      <c r="S56" s="15">
        <f t="shared" si="19"/>
        <v>1</v>
      </c>
      <c r="T56" s="15">
        <f t="shared" si="20"/>
        <v>30</v>
      </c>
      <c r="U56" s="4">
        <f t="shared" si="21"/>
        <v>1.5</v>
      </c>
      <c r="V56" s="3">
        <f t="shared" si="22"/>
        <v>45</v>
      </c>
      <c r="W56" s="19" t="s">
        <v>580</v>
      </c>
    </row>
    <row r="57" spans="1:24" x14ac:dyDescent="0.3">
      <c r="B57" s="62" t="s">
        <v>54</v>
      </c>
      <c r="C57" s="13" t="s">
        <v>17</v>
      </c>
      <c r="D57" s="64">
        <v>102</v>
      </c>
      <c r="E57" s="64">
        <v>14</v>
      </c>
      <c r="F57" s="64"/>
      <c r="G57" s="64" t="s">
        <v>23</v>
      </c>
      <c r="H57" s="64">
        <v>3</v>
      </c>
      <c r="I57" s="15">
        <v>90</v>
      </c>
      <c r="J57" s="15">
        <v>30</v>
      </c>
      <c r="K57" s="3">
        <v>0.5</v>
      </c>
      <c r="L57" s="15">
        <f t="shared" si="15"/>
        <v>15</v>
      </c>
      <c r="M57" s="38">
        <v>2</v>
      </c>
      <c r="N57" s="15">
        <f t="shared" si="16"/>
        <v>1</v>
      </c>
      <c r="O57" s="15">
        <f t="shared" si="17"/>
        <v>30</v>
      </c>
      <c r="P57" s="3">
        <v>0.5</v>
      </c>
      <c r="Q57" s="15">
        <f t="shared" si="18"/>
        <v>15</v>
      </c>
      <c r="R57" s="17">
        <v>6</v>
      </c>
      <c r="S57" s="15">
        <f t="shared" si="19"/>
        <v>3</v>
      </c>
      <c r="T57" s="15">
        <f t="shared" si="20"/>
        <v>90</v>
      </c>
      <c r="U57" s="4">
        <f t="shared" si="21"/>
        <v>4</v>
      </c>
      <c r="V57" s="3">
        <f t="shared" si="22"/>
        <v>120</v>
      </c>
      <c r="W57" s="19" t="s">
        <v>615</v>
      </c>
      <c r="X57">
        <v>4</v>
      </c>
    </row>
    <row r="58" spans="1:24" x14ac:dyDescent="0.3">
      <c r="B58" s="63"/>
      <c r="C58" s="13" t="s">
        <v>18</v>
      </c>
      <c r="D58" s="65"/>
      <c r="E58" s="65"/>
      <c r="F58" s="65"/>
      <c r="G58" s="65"/>
      <c r="H58" s="66"/>
      <c r="I58" s="15">
        <v>90</v>
      </c>
      <c r="J58" s="15">
        <v>30</v>
      </c>
      <c r="K58" s="3">
        <v>0.5</v>
      </c>
      <c r="L58" s="15">
        <f t="shared" si="15"/>
        <v>15</v>
      </c>
      <c r="M58" s="38">
        <v>1</v>
      </c>
      <c r="N58" s="15">
        <f t="shared" si="16"/>
        <v>0.5</v>
      </c>
      <c r="O58" s="15">
        <f t="shared" si="17"/>
        <v>15</v>
      </c>
      <c r="P58" s="3">
        <v>0.5</v>
      </c>
      <c r="Q58" s="15">
        <f t="shared" si="18"/>
        <v>15</v>
      </c>
      <c r="R58" s="17">
        <v>1</v>
      </c>
      <c r="S58" s="15">
        <f t="shared" si="19"/>
        <v>0.5</v>
      </c>
      <c r="T58" s="15">
        <f t="shared" si="20"/>
        <v>15</v>
      </c>
      <c r="U58" s="4">
        <f t="shared" si="21"/>
        <v>1</v>
      </c>
      <c r="V58" s="3">
        <f t="shared" si="22"/>
        <v>30</v>
      </c>
      <c r="W58" s="19" t="s">
        <v>597</v>
      </c>
      <c r="X58">
        <v>1</v>
      </c>
    </row>
    <row r="59" spans="1:24" ht="36" x14ac:dyDescent="0.3">
      <c r="B59" s="62" t="s">
        <v>55</v>
      </c>
      <c r="C59" s="13" t="s">
        <v>17</v>
      </c>
      <c r="D59" s="65"/>
      <c r="E59" s="65"/>
      <c r="F59" s="65"/>
      <c r="G59" s="65"/>
      <c r="H59" s="64">
        <v>5</v>
      </c>
      <c r="I59" s="15">
        <v>150</v>
      </c>
      <c r="J59" s="15">
        <v>45</v>
      </c>
      <c r="K59" s="3">
        <v>0.5</v>
      </c>
      <c r="L59" s="15">
        <f t="shared" si="15"/>
        <v>15</v>
      </c>
      <c r="M59" s="38">
        <v>2</v>
      </c>
      <c r="N59" s="15">
        <f t="shared" si="16"/>
        <v>1</v>
      </c>
      <c r="O59" s="15">
        <f t="shared" si="17"/>
        <v>30</v>
      </c>
      <c r="P59" s="3">
        <v>1</v>
      </c>
      <c r="Q59" s="15">
        <f t="shared" si="18"/>
        <v>30</v>
      </c>
      <c r="R59" s="17">
        <v>6</v>
      </c>
      <c r="S59" s="15">
        <f t="shared" si="19"/>
        <v>6</v>
      </c>
      <c r="T59" s="15">
        <f t="shared" si="20"/>
        <v>180</v>
      </c>
      <c r="U59" s="4">
        <f t="shared" si="21"/>
        <v>7</v>
      </c>
      <c r="V59" s="3">
        <f t="shared" si="22"/>
        <v>210</v>
      </c>
      <c r="W59" s="3" t="s">
        <v>616</v>
      </c>
      <c r="X59">
        <v>7</v>
      </c>
    </row>
    <row r="60" spans="1:24" x14ac:dyDescent="0.3">
      <c r="B60" s="63"/>
      <c r="C60" s="13" t="s">
        <v>18</v>
      </c>
      <c r="D60" s="66"/>
      <c r="E60" s="66"/>
      <c r="F60" s="66"/>
      <c r="G60" s="66"/>
      <c r="H60" s="66"/>
      <c r="I60" s="15">
        <v>150</v>
      </c>
      <c r="J60" s="15">
        <v>45</v>
      </c>
      <c r="K60" s="3">
        <v>0.5</v>
      </c>
      <c r="L60" s="15">
        <f t="shared" si="15"/>
        <v>15</v>
      </c>
      <c r="M60" s="38">
        <v>1</v>
      </c>
      <c r="N60" s="15">
        <f t="shared" si="16"/>
        <v>0.5</v>
      </c>
      <c r="O60" s="15">
        <f t="shared" si="17"/>
        <v>15</v>
      </c>
      <c r="P60" s="3">
        <v>1</v>
      </c>
      <c r="Q60" s="15">
        <f t="shared" si="18"/>
        <v>30</v>
      </c>
      <c r="R60" s="17">
        <v>1</v>
      </c>
      <c r="S60" s="15">
        <f t="shared" si="19"/>
        <v>1</v>
      </c>
      <c r="T60" s="15">
        <f t="shared" si="20"/>
        <v>30</v>
      </c>
      <c r="U60" s="4">
        <f t="shared" si="21"/>
        <v>1.5</v>
      </c>
      <c r="V60" s="3">
        <f t="shared" si="22"/>
        <v>45</v>
      </c>
      <c r="W60" s="56" t="s">
        <v>597</v>
      </c>
      <c r="X60">
        <v>1.5</v>
      </c>
    </row>
    <row r="61" spans="1:24" x14ac:dyDescent="0.3">
      <c r="B61" s="62" t="s">
        <v>58</v>
      </c>
      <c r="C61" s="13" t="s">
        <v>17</v>
      </c>
      <c r="D61" s="64">
        <v>55</v>
      </c>
      <c r="E61" s="64">
        <v>3</v>
      </c>
      <c r="F61" s="64"/>
      <c r="G61" s="64" t="s">
        <v>24</v>
      </c>
      <c r="H61" s="64">
        <v>4</v>
      </c>
      <c r="I61" s="15">
        <v>120</v>
      </c>
      <c r="J61" s="15">
        <v>45</v>
      </c>
      <c r="K61" s="3">
        <v>0.5</v>
      </c>
      <c r="L61" s="15">
        <f t="shared" si="15"/>
        <v>15</v>
      </c>
      <c r="M61" s="17">
        <v>1</v>
      </c>
      <c r="N61" s="15">
        <f t="shared" si="16"/>
        <v>0.5</v>
      </c>
      <c r="O61" s="15">
        <f t="shared" si="17"/>
        <v>15</v>
      </c>
      <c r="P61" s="3">
        <v>1</v>
      </c>
      <c r="Q61" s="15">
        <f t="shared" si="18"/>
        <v>30</v>
      </c>
      <c r="R61" s="39">
        <v>4</v>
      </c>
      <c r="S61" s="15">
        <f t="shared" si="19"/>
        <v>4</v>
      </c>
      <c r="T61" s="15">
        <f t="shared" si="20"/>
        <v>120</v>
      </c>
      <c r="U61" s="4">
        <f t="shared" si="21"/>
        <v>4.5</v>
      </c>
      <c r="V61" s="3">
        <f t="shared" si="22"/>
        <v>135</v>
      </c>
      <c r="W61" s="19"/>
      <c r="X61">
        <f>SUM(X57:X60)</f>
        <v>13.5</v>
      </c>
    </row>
    <row r="62" spans="1:24" x14ac:dyDescent="0.3">
      <c r="B62" s="63"/>
      <c r="C62" s="13" t="s">
        <v>18</v>
      </c>
      <c r="D62" s="65"/>
      <c r="E62" s="65"/>
      <c r="F62" s="65"/>
      <c r="G62" s="65"/>
      <c r="H62" s="66"/>
      <c r="I62" s="15">
        <v>120</v>
      </c>
      <c r="J62" s="15">
        <v>45</v>
      </c>
      <c r="K62" s="3">
        <v>0.5</v>
      </c>
      <c r="L62" s="15">
        <f t="shared" si="15"/>
        <v>15</v>
      </c>
      <c r="M62" s="17">
        <v>1</v>
      </c>
      <c r="N62" s="15">
        <f t="shared" si="16"/>
        <v>0.5</v>
      </c>
      <c r="O62" s="15">
        <f t="shared" si="17"/>
        <v>15</v>
      </c>
      <c r="P62" s="3">
        <v>1</v>
      </c>
      <c r="Q62" s="15">
        <f t="shared" si="18"/>
        <v>30</v>
      </c>
      <c r="R62" s="39">
        <v>1</v>
      </c>
      <c r="S62" s="15">
        <f t="shared" si="19"/>
        <v>1</v>
      </c>
      <c r="T62" s="15">
        <f t="shared" si="20"/>
        <v>30</v>
      </c>
      <c r="U62" s="4">
        <f t="shared" si="21"/>
        <v>1.5</v>
      </c>
      <c r="V62" s="3">
        <f t="shared" si="22"/>
        <v>45</v>
      </c>
      <c r="W62" s="19"/>
    </row>
    <row r="63" spans="1:24" x14ac:dyDescent="0.35">
      <c r="A63" s="8"/>
      <c r="B63" s="62" t="s">
        <v>59</v>
      </c>
      <c r="C63" s="13" t="s">
        <v>17</v>
      </c>
      <c r="D63" s="65"/>
      <c r="E63" s="65"/>
      <c r="F63" s="65"/>
      <c r="G63" s="65"/>
      <c r="H63" s="87">
        <v>4</v>
      </c>
      <c r="I63" s="15">
        <v>120</v>
      </c>
      <c r="J63" s="15">
        <v>45</v>
      </c>
      <c r="K63" s="3">
        <v>0.5</v>
      </c>
      <c r="L63" s="15">
        <f t="shared" si="15"/>
        <v>15</v>
      </c>
      <c r="M63" s="17">
        <v>1</v>
      </c>
      <c r="N63" s="15">
        <f t="shared" si="16"/>
        <v>0.5</v>
      </c>
      <c r="O63" s="15">
        <f t="shared" si="17"/>
        <v>15</v>
      </c>
      <c r="P63" s="3">
        <v>1</v>
      </c>
      <c r="Q63" s="15">
        <f t="shared" si="18"/>
        <v>30</v>
      </c>
      <c r="R63" s="39">
        <v>4</v>
      </c>
      <c r="S63" s="15">
        <f t="shared" si="19"/>
        <v>4</v>
      </c>
      <c r="T63" s="15">
        <f t="shared" si="20"/>
        <v>120</v>
      </c>
      <c r="U63" s="4">
        <f t="shared" si="21"/>
        <v>4.5</v>
      </c>
      <c r="V63" s="3">
        <f t="shared" si="22"/>
        <v>135</v>
      </c>
      <c r="W63" s="10"/>
    </row>
    <row r="64" spans="1:24" x14ac:dyDescent="0.35">
      <c r="A64" s="8"/>
      <c r="B64" s="63"/>
      <c r="C64" s="13" t="s">
        <v>18</v>
      </c>
      <c r="D64" s="66"/>
      <c r="E64" s="66"/>
      <c r="F64" s="66"/>
      <c r="G64" s="66"/>
      <c r="H64" s="88"/>
      <c r="I64" s="15">
        <v>120</v>
      </c>
      <c r="J64" s="15">
        <v>45</v>
      </c>
      <c r="K64" s="3">
        <v>0.5</v>
      </c>
      <c r="L64" s="15">
        <f t="shared" si="15"/>
        <v>15</v>
      </c>
      <c r="M64" s="17">
        <v>1</v>
      </c>
      <c r="N64" s="15">
        <f t="shared" si="16"/>
        <v>0.5</v>
      </c>
      <c r="O64" s="15">
        <f t="shared" si="17"/>
        <v>15</v>
      </c>
      <c r="P64" s="3">
        <v>1</v>
      </c>
      <c r="Q64" s="15">
        <f t="shared" si="18"/>
        <v>30</v>
      </c>
      <c r="R64" s="39">
        <v>1</v>
      </c>
      <c r="S64" s="15">
        <f t="shared" si="19"/>
        <v>1</v>
      </c>
      <c r="T64" s="15">
        <f t="shared" si="20"/>
        <v>30</v>
      </c>
      <c r="U64" s="4">
        <f t="shared" si="21"/>
        <v>1.5</v>
      </c>
      <c r="V64" s="3">
        <f t="shared" si="22"/>
        <v>45</v>
      </c>
      <c r="W64" s="20"/>
    </row>
    <row r="65" spans="1:23" x14ac:dyDescent="0.35">
      <c r="A65" s="8"/>
      <c r="B65" s="62" t="s">
        <v>62</v>
      </c>
      <c r="C65" s="13" t="s">
        <v>17</v>
      </c>
      <c r="D65" s="64">
        <v>83</v>
      </c>
      <c r="E65" s="64">
        <v>6</v>
      </c>
      <c r="F65" s="64"/>
      <c r="G65" s="64" t="s">
        <v>25</v>
      </c>
      <c r="H65" s="87">
        <v>3</v>
      </c>
      <c r="I65" s="15">
        <v>90</v>
      </c>
      <c r="J65" s="15">
        <v>30</v>
      </c>
      <c r="K65" s="3">
        <v>0.5</v>
      </c>
      <c r="L65" s="15">
        <f t="shared" si="15"/>
        <v>15</v>
      </c>
      <c r="M65" s="17">
        <v>1</v>
      </c>
      <c r="N65" s="15">
        <f t="shared" si="16"/>
        <v>0.5</v>
      </c>
      <c r="O65" s="15">
        <f t="shared" si="17"/>
        <v>15</v>
      </c>
      <c r="P65" s="3">
        <v>0.5</v>
      </c>
      <c r="Q65" s="15">
        <f t="shared" si="18"/>
        <v>15</v>
      </c>
      <c r="R65" s="38">
        <v>5</v>
      </c>
      <c r="S65" s="15">
        <f t="shared" si="19"/>
        <v>2.5</v>
      </c>
      <c r="T65" s="15">
        <f t="shared" si="20"/>
        <v>75</v>
      </c>
      <c r="U65" s="4">
        <f t="shared" si="21"/>
        <v>3</v>
      </c>
      <c r="V65" s="3">
        <f t="shared" si="22"/>
        <v>90</v>
      </c>
      <c r="W65" s="10"/>
    </row>
    <row r="66" spans="1:23" x14ac:dyDescent="0.35">
      <c r="A66" s="8"/>
      <c r="B66" s="63"/>
      <c r="C66" s="13" t="s">
        <v>18</v>
      </c>
      <c r="D66" s="65"/>
      <c r="E66" s="65"/>
      <c r="F66" s="65"/>
      <c r="G66" s="65"/>
      <c r="H66" s="88"/>
      <c r="I66" s="15">
        <v>90</v>
      </c>
      <c r="J66" s="15">
        <v>30</v>
      </c>
      <c r="K66" s="3">
        <v>0.5</v>
      </c>
      <c r="L66" s="15">
        <f t="shared" si="15"/>
        <v>15</v>
      </c>
      <c r="M66" s="17">
        <v>1</v>
      </c>
      <c r="N66" s="15">
        <f t="shared" si="16"/>
        <v>0.5</v>
      </c>
      <c r="O66" s="15">
        <f t="shared" si="17"/>
        <v>15</v>
      </c>
      <c r="P66" s="3">
        <v>0.5</v>
      </c>
      <c r="Q66" s="15">
        <f t="shared" si="18"/>
        <v>15</v>
      </c>
      <c r="R66" s="38">
        <v>1</v>
      </c>
      <c r="S66" s="15">
        <f t="shared" si="19"/>
        <v>0.5</v>
      </c>
      <c r="T66" s="15">
        <f t="shared" si="20"/>
        <v>15</v>
      </c>
      <c r="U66" s="4">
        <f t="shared" si="21"/>
        <v>1</v>
      </c>
      <c r="V66" s="3">
        <f t="shared" si="22"/>
        <v>30</v>
      </c>
      <c r="W66" s="20"/>
    </row>
    <row r="67" spans="1:23" x14ac:dyDescent="0.3">
      <c r="A67" s="7"/>
      <c r="B67" s="62" t="s">
        <v>63</v>
      </c>
      <c r="C67" s="13" t="s">
        <v>17</v>
      </c>
      <c r="D67" s="65"/>
      <c r="E67" s="65"/>
      <c r="F67" s="65"/>
      <c r="G67" s="65"/>
      <c r="H67" s="64">
        <v>3</v>
      </c>
      <c r="I67" s="15">
        <v>90</v>
      </c>
      <c r="J67" s="15">
        <v>30</v>
      </c>
      <c r="K67" s="3">
        <v>0.5</v>
      </c>
      <c r="L67" s="15">
        <f t="shared" si="15"/>
        <v>15</v>
      </c>
      <c r="M67" s="17">
        <v>1</v>
      </c>
      <c r="N67" s="15">
        <f t="shared" si="16"/>
        <v>0.5</v>
      </c>
      <c r="O67" s="15">
        <f t="shared" si="17"/>
        <v>15</v>
      </c>
      <c r="P67" s="3">
        <v>0.5</v>
      </c>
      <c r="Q67" s="15">
        <f t="shared" si="18"/>
        <v>15</v>
      </c>
      <c r="R67" s="38">
        <v>5</v>
      </c>
      <c r="S67" s="15">
        <f t="shared" si="19"/>
        <v>2.5</v>
      </c>
      <c r="T67" s="15">
        <f t="shared" si="20"/>
        <v>75</v>
      </c>
      <c r="U67" s="4">
        <f t="shared" si="21"/>
        <v>3</v>
      </c>
      <c r="V67" s="3">
        <f t="shared" si="22"/>
        <v>90</v>
      </c>
      <c r="W67" s="19"/>
    </row>
    <row r="68" spans="1:23" x14ac:dyDescent="0.3">
      <c r="A68" s="7"/>
      <c r="B68" s="63"/>
      <c r="C68" s="13" t="s">
        <v>18</v>
      </c>
      <c r="D68" s="66"/>
      <c r="E68" s="66"/>
      <c r="F68" s="66"/>
      <c r="G68" s="66"/>
      <c r="H68" s="66"/>
      <c r="I68" s="15">
        <v>90</v>
      </c>
      <c r="J68" s="15">
        <v>30</v>
      </c>
      <c r="K68" s="3">
        <v>0.5</v>
      </c>
      <c r="L68" s="15">
        <f t="shared" si="15"/>
        <v>15</v>
      </c>
      <c r="M68" s="17">
        <v>1</v>
      </c>
      <c r="N68" s="15">
        <f t="shared" si="16"/>
        <v>0.5</v>
      </c>
      <c r="O68" s="15">
        <f t="shared" si="17"/>
        <v>15</v>
      </c>
      <c r="P68" s="3">
        <v>0.5</v>
      </c>
      <c r="Q68" s="15">
        <f t="shared" si="18"/>
        <v>15</v>
      </c>
      <c r="R68" s="38">
        <v>1</v>
      </c>
      <c r="S68" s="15">
        <f t="shared" si="19"/>
        <v>0.5</v>
      </c>
      <c r="T68" s="15">
        <f t="shared" si="20"/>
        <v>15</v>
      </c>
      <c r="U68" s="4">
        <f t="shared" si="21"/>
        <v>1</v>
      </c>
      <c r="V68" s="3">
        <f t="shared" si="22"/>
        <v>30</v>
      </c>
      <c r="W68" s="19"/>
    </row>
    <row r="69" spans="1:23" x14ac:dyDescent="0.3">
      <c r="A69" s="7"/>
      <c r="B69" s="62" t="s">
        <v>66</v>
      </c>
      <c r="C69" s="13" t="s">
        <v>17</v>
      </c>
      <c r="D69" s="64">
        <v>86</v>
      </c>
      <c r="E69" s="64">
        <v>4</v>
      </c>
      <c r="F69" s="64"/>
      <c r="G69" s="64" t="s">
        <v>26</v>
      </c>
      <c r="H69" s="64">
        <v>4</v>
      </c>
      <c r="I69" s="15">
        <v>120</v>
      </c>
      <c r="J69" s="15">
        <v>45</v>
      </c>
      <c r="K69" s="3">
        <v>0.5</v>
      </c>
      <c r="L69" s="15">
        <f t="shared" ref="L69:L97" si="23">K69*30</f>
        <v>15</v>
      </c>
      <c r="M69" s="17">
        <v>1</v>
      </c>
      <c r="N69" s="15">
        <f t="shared" ref="N69:N97" si="24">K69*M69</f>
        <v>0.5</v>
      </c>
      <c r="O69" s="15">
        <f t="shared" ref="O69:O97" si="25">L69*M69</f>
        <v>15</v>
      </c>
      <c r="P69" s="3">
        <v>1</v>
      </c>
      <c r="Q69" s="15">
        <f t="shared" ref="Q69:Q97" si="26">P69*30</f>
        <v>30</v>
      </c>
      <c r="R69" s="38">
        <v>5</v>
      </c>
      <c r="S69" s="15">
        <f t="shared" ref="S69:S97" si="27">P69*R69</f>
        <v>5</v>
      </c>
      <c r="T69" s="15">
        <f t="shared" ref="T69:T97" si="28">Q69*R69</f>
        <v>150</v>
      </c>
      <c r="U69" s="4">
        <f t="shared" ref="U69:U97" si="29">N69+S69</f>
        <v>5.5</v>
      </c>
      <c r="V69" s="3">
        <f t="shared" ref="V69:V97" si="30">O69+T69</f>
        <v>165</v>
      </c>
      <c r="W69" s="19"/>
    </row>
    <row r="70" spans="1:23" x14ac:dyDescent="0.3">
      <c r="A70" s="7"/>
      <c r="B70" s="63"/>
      <c r="C70" s="13" t="s">
        <v>18</v>
      </c>
      <c r="D70" s="65"/>
      <c r="E70" s="65"/>
      <c r="F70" s="65"/>
      <c r="G70" s="65"/>
      <c r="H70" s="66"/>
      <c r="I70" s="15">
        <v>120</v>
      </c>
      <c r="J70" s="15">
        <v>45</v>
      </c>
      <c r="K70" s="3">
        <v>0.5</v>
      </c>
      <c r="L70" s="15">
        <f t="shared" si="23"/>
        <v>15</v>
      </c>
      <c r="M70" s="17">
        <v>1</v>
      </c>
      <c r="N70" s="15">
        <f t="shared" si="24"/>
        <v>0.5</v>
      </c>
      <c r="O70" s="15">
        <f t="shared" si="25"/>
        <v>15</v>
      </c>
      <c r="P70" s="3">
        <v>1</v>
      </c>
      <c r="Q70" s="15">
        <f t="shared" si="26"/>
        <v>30</v>
      </c>
      <c r="R70" s="38">
        <v>1</v>
      </c>
      <c r="S70" s="15">
        <f t="shared" si="27"/>
        <v>1</v>
      </c>
      <c r="T70" s="15">
        <f t="shared" si="28"/>
        <v>30</v>
      </c>
      <c r="U70" s="4">
        <f t="shared" si="29"/>
        <v>1.5</v>
      </c>
      <c r="V70" s="3">
        <f t="shared" si="30"/>
        <v>45</v>
      </c>
      <c r="W70" s="19"/>
    </row>
    <row r="71" spans="1:23" x14ac:dyDescent="0.3">
      <c r="A71" s="7"/>
      <c r="B71" s="62" t="s">
        <v>118</v>
      </c>
      <c r="C71" s="13" t="s">
        <v>17</v>
      </c>
      <c r="D71" s="65"/>
      <c r="E71" s="65"/>
      <c r="F71" s="65"/>
      <c r="G71" s="65"/>
      <c r="H71" s="64">
        <v>4</v>
      </c>
      <c r="I71" s="15">
        <v>120</v>
      </c>
      <c r="J71" s="15">
        <v>45</v>
      </c>
      <c r="K71" s="3">
        <v>0.5</v>
      </c>
      <c r="L71" s="15">
        <f t="shared" si="23"/>
        <v>15</v>
      </c>
      <c r="M71" s="17">
        <v>1</v>
      </c>
      <c r="N71" s="15">
        <f t="shared" si="24"/>
        <v>0.5</v>
      </c>
      <c r="O71" s="15">
        <f t="shared" si="25"/>
        <v>15</v>
      </c>
      <c r="P71" s="3">
        <v>1</v>
      </c>
      <c r="Q71" s="15">
        <f t="shared" si="26"/>
        <v>30</v>
      </c>
      <c r="R71" s="38">
        <v>5</v>
      </c>
      <c r="S71" s="15">
        <f t="shared" si="27"/>
        <v>5</v>
      </c>
      <c r="T71" s="15">
        <f t="shared" si="28"/>
        <v>150</v>
      </c>
      <c r="U71" s="4">
        <f t="shared" si="29"/>
        <v>5.5</v>
      </c>
      <c r="V71" s="3">
        <f t="shared" si="30"/>
        <v>165</v>
      </c>
      <c r="W71" s="19"/>
    </row>
    <row r="72" spans="1:23" x14ac:dyDescent="0.3">
      <c r="A72" s="7"/>
      <c r="B72" s="63"/>
      <c r="C72" s="13" t="s">
        <v>18</v>
      </c>
      <c r="D72" s="66"/>
      <c r="E72" s="66"/>
      <c r="F72" s="66"/>
      <c r="G72" s="66"/>
      <c r="H72" s="66"/>
      <c r="I72" s="15">
        <v>120</v>
      </c>
      <c r="J72" s="15">
        <v>45</v>
      </c>
      <c r="K72" s="3">
        <v>0.5</v>
      </c>
      <c r="L72" s="15">
        <f t="shared" si="23"/>
        <v>15</v>
      </c>
      <c r="M72" s="17">
        <v>1</v>
      </c>
      <c r="N72" s="15">
        <f t="shared" si="24"/>
        <v>0.5</v>
      </c>
      <c r="O72" s="15">
        <f t="shared" si="25"/>
        <v>15</v>
      </c>
      <c r="P72" s="3">
        <v>1</v>
      </c>
      <c r="Q72" s="15">
        <f t="shared" si="26"/>
        <v>30</v>
      </c>
      <c r="R72" s="38">
        <v>1</v>
      </c>
      <c r="S72" s="15">
        <f t="shared" si="27"/>
        <v>1</v>
      </c>
      <c r="T72" s="15">
        <f t="shared" si="28"/>
        <v>30</v>
      </c>
      <c r="U72" s="4">
        <f t="shared" si="29"/>
        <v>1.5</v>
      </c>
      <c r="V72" s="3">
        <f t="shared" si="30"/>
        <v>45</v>
      </c>
      <c r="W72" s="19"/>
    </row>
    <row r="73" spans="1:23" ht="18" customHeight="1" x14ac:dyDescent="0.3">
      <c r="A73" s="7"/>
      <c r="B73" s="62" t="s">
        <v>95</v>
      </c>
      <c r="C73" s="13" t="s">
        <v>17</v>
      </c>
      <c r="D73" s="64">
        <v>45</v>
      </c>
      <c r="E73" s="64">
        <v>1</v>
      </c>
      <c r="F73" s="64"/>
      <c r="G73" s="64" t="s">
        <v>120</v>
      </c>
      <c r="H73" s="64">
        <v>4</v>
      </c>
      <c r="I73" s="15">
        <v>120</v>
      </c>
      <c r="J73" s="15">
        <v>45</v>
      </c>
      <c r="K73" s="3">
        <v>0.5</v>
      </c>
      <c r="L73" s="15">
        <f t="shared" si="23"/>
        <v>15</v>
      </c>
      <c r="M73" s="17">
        <v>1</v>
      </c>
      <c r="N73" s="15">
        <f t="shared" si="24"/>
        <v>0.5</v>
      </c>
      <c r="O73" s="15">
        <f t="shared" si="25"/>
        <v>15</v>
      </c>
      <c r="P73" s="3">
        <v>1</v>
      </c>
      <c r="Q73" s="15">
        <f t="shared" si="26"/>
        <v>30</v>
      </c>
      <c r="R73" s="17">
        <v>2</v>
      </c>
      <c r="S73" s="15">
        <f t="shared" si="27"/>
        <v>2</v>
      </c>
      <c r="T73" s="15">
        <f t="shared" si="28"/>
        <v>60</v>
      </c>
      <c r="U73" s="4">
        <f t="shared" si="29"/>
        <v>2.5</v>
      </c>
      <c r="V73" s="3">
        <f t="shared" si="30"/>
        <v>75</v>
      </c>
      <c r="W73" s="19"/>
    </row>
    <row r="74" spans="1:23" x14ac:dyDescent="0.3">
      <c r="A74" s="7"/>
      <c r="B74" s="63"/>
      <c r="C74" s="13" t="s">
        <v>18</v>
      </c>
      <c r="D74" s="65"/>
      <c r="E74" s="65"/>
      <c r="F74" s="65"/>
      <c r="G74" s="65"/>
      <c r="H74" s="66"/>
      <c r="I74" s="15">
        <v>120</v>
      </c>
      <c r="J74" s="15">
        <v>45</v>
      </c>
      <c r="K74" s="3">
        <v>0.5</v>
      </c>
      <c r="L74" s="15">
        <f t="shared" si="23"/>
        <v>15</v>
      </c>
      <c r="M74" s="17">
        <v>1</v>
      </c>
      <c r="N74" s="15">
        <f t="shared" si="24"/>
        <v>0.5</v>
      </c>
      <c r="O74" s="15">
        <f t="shared" si="25"/>
        <v>15</v>
      </c>
      <c r="P74" s="3">
        <v>1</v>
      </c>
      <c r="Q74" s="15">
        <f t="shared" si="26"/>
        <v>30</v>
      </c>
      <c r="R74" s="17">
        <v>1</v>
      </c>
      <c r="S74" s="15">
        <f t="shared" si="27"/>
        <v>1</v>
      </c>
      <c r="T74" s="15">
        <f t="shared" si="28"/>
        <v>30</v>
      </c>
      <c r="U74" s="30">
        <v>0</v>
      </c>
      <c r="V74" s="28">
        <v>0</v>
      </c>
      <c r="W74" s="19"/>
    </row>
    <row r="75" spans="1:23" ht="18" customHeight="1" x14ac:dyDescent="0.3">
      <c r="A75" s="7"/>
      <c r="B75" s="62" t="s">
        <v>96</v>
      </c>
      <c r="C75" s="13" t="s">
        <v>17</v>
      </c>
      <c r="D75" s="65"/>
      <c r="E75" s="65"/>
      <c r="F75" s="65"/>
      <c r="G75" s="65"/>
      <c r="H75" s="64">
        <v>3</v>
      </c>
      <c r="I75" s="15">
        <v>90</v>
      </c>
      <c r="J75" s="15">
        <v>30</v>
      </c>
      <c r="K75" s="3">
        <v>0.5</v>
      </c>
      <c r="L75" s="15">
        <f t="shared" si="23"/>
        <v>15</v>
      </c>
      <c r="M75" s="17">
        <v>1</v>
      </c>
      <c r="N75" s="15">
        <f t="shared" si="24"/>
        <v>0.5</v>
      </c>
      <c r="O75" s="15">
        <f t="shared" si="25"/>
        <v>15</v>
      </c>
      <c r="P75" s="3">
        <v>0.5</v>
      </c>
      <c r="Q75" s="15">
        <f t="shared" si="26"/>
        <v>15</v>
      </c>
      <c r="R75" s="17">
        <v>2</v>
      </c>
      <c r="S75" s="15">
        <f t="shared" si="27"/>
        <v>1</v>
      </c>
      <c r="T75" s="15">
        <f t="shared" si="28"/>
        <v>30</v>
      </c>
      <c r="U75" s="4">
        <f t="shared" si="29"/>
        <v>1.5</v>
      </c>
      <c r="V75" s="3">
        <f t="shared" si="30"/>
        <v>45</v>
      </c>
      <c r="W75" s="19"/>
    </row>
    <row r="76" spans="1:23" x14ac:dyDescent="0.3">
      <c r="A76" s="7"/>
      <c r="B76" s="63"/>
      <c r="C76" s="13" t="s">
        <v>18</v>
      </c>
      <c r="D76" s="65"/>
      <c r="E76" s="65"/>
      <c r="F76" s="65"/>
      <c r="G76" s="65"/>
      <c r="H76" s="66"/>
      <c r="I76" s="15">
        <v>90</v>
      </c>
      <c r="J76" s="15">
        <v>30</v>
      </c>
      <c r="K76" s="3">
        <v>0.5</v>
      </c>
      <c r="L76" s="15">
        <f t="shared" si="23"/>
        <v>15</v>
      </c>
      <c r="M76" s="17">
        <v>1</v>
      </c>
      <c r="N76" s="15">
        <f t="shared" si="24"/>
        <v>0.5</v>
      </c>
      <c r="O76" s="15">
        <f t="shared" si="25"/>
        <v>15</v>
      </c>
      <c r="P76" s="3">
        <v>0.5</v>
      </c>
      <c r="Q76" s="15">
        <f t="shared" si="26"/>
        <v>15</v>
      </c>
      <c r="R76" s="17">
        <v>1</v>
      </c>
      <c r="S76" s="15">
        <f t="shared" si="27"/>
        <v>0.5</v>
      </c>
      <c r="T76" s="15">
        <f t="shared" si="28"/>
        <v>15</v>
      </c>
      <c r="U76" s="30">
        <v>0</v>
      </c>
      <c r="V76" s="28">
        <v>0</v>
      </c>
      <c r="W76" s="19"/>
    </row>
    <row r="77" spans="1:23" x14ac:dyDescent="0.3">
      <c r="A77" s="7"/>
      <c r="B77" s="62" t="s">
        <v>97</v>
      </c>
      <c r="C77" s="13" t="s">
        <v>17</v>
      </c>
      <c r="D77" s="65"/>
      <c r="E77" s="65"/>
      <c r="F77" s="65"/>
      <c r="G77" s="65"/>
      <c r="H77" s="64">
        <v>3</v>
      </c>
      <c r="I77" s="15">
        <v>90</v>
      </c>
      <c r="J77" s="15">
        <v>30</v>
      </c>
      <c r="K77" s="3">
        <v>0.5</v>
      </c>
      <c r="L77" s="15">
        <f t="shared" si="23"/>
        <v>15</v>
      </c>
      <c r="M77" s="17">
        <v>1</v>
      </c>
      <c r="N77" s="15">
        <f t="shared" si="24"/>
        <v>0.5</v>
      </c>
      <c r="O77" s="15">
        <f t="shared" si="25"/>
        <v>15</v>
      </c>
      <c r="P77" s="3">
        <v>0.5</v>
      </c>
      <c r="Q77" s="15">
        <f t="shared" si="26"/>
        <v>15</v>
      </c>
      <c r="R77" s="17">
        <v>2</v>
      </c>
      <c r="S77" s="15">
        <f t="shared" si="27"/>
        <v>1</v>
      </c>
      <c r="T77" s="15">
        <f t="shared" si="28"/>
        <v>30</v>
      </c>
      <c r="U77" s="4">
        <f t="shared" si="29"/>
        <v>1.5</v>
      </c>
      <c r="V77" s="3">
        <f t="shared" si="30"/>
        <v>45</v>
      </c>
      <c r="W77" s="19"/>
    </row>
    <row r="78" spans="1:23" x14ac:dyDescent="0.3">
      <c r="A78" s="7"/>
      <c r="B78" s="63"/>
      <c r="C78" s="13" t="s">
        <v>18</v>
      </c>
      <c r="D78" s="65"/>
      <c r="E78" s="65"/>
      <c r="F78" s="65"/>
      <c r="G78" s="65"/>
      <c r="H78" s="66"/>
      <c r="I78" s="15">
        <v>90</v>
      </c>
      <c r="J78" s="15">
        <v>30</v>
      </c>
      <c r="K78" s="3">
        <v>0.5</v>
      </c>
      <c r="L78" s="15">
        <f t="shared" si="23"/>
        <v>15</v>
      </c>
      <c r="M78" s="17">
        <v>1</v>
      </c>
      <c r="N78" s="15">
        <f t="shared" si="24"/>
        <v>0.5</v>
      </c>
      <c r="O78" s="15">
        <f t="shared" si="25"/>
        <v>15</v>
      </c>
      <c r="P78" s="3">
        <v>0.5</v>
      </c>
      <c r="Q78" s="15">
        <f t="shared" si="26"/>
        <v>15</v>
      </c>
      <c r="R78" s="17">
        <v>1</v>
      </c>
      <c r="S78" s="15">
        <f t="shared" si="27"/>
        <v>0.5</v>
      </c>
      <c r="T78" s="15">
        <f t="shared" si="28"/>
        <v>15</v>
      </c>
      <c r="U78" s="30">
        <v>0</v>
      </c>
      <c r="V78" s="28">
        <v>0</v>
      </c>
      <c r="W78" s="19"/>
    </row>
    <row r="79" spans="1:23" ht="18" customHeight="1" x14ac:dyDescent="0.3">
      <c r="A79" s="7"/>
      <c r="B79" s="62" t="s">
        <v>98</v>
      </c>
      <c r="C79" s="13" t="s">
        <v>17</v>
      </c>
      <c r="D79" s="65"/>
      <c r="E79" s="65"/>
      <c r="F79" s="65"/>
      <c r="G79" s="65"/>
      <c r="H79" s="64">
        <v>3</v>
      </c>
      <c r="I79" s="15">
        <v>90</v>
      </c>
      <c r="J79" s="15">
        <v>30</v>
      </c>
      <c r="K79" s="3">
        <v>0.5</v>
      </c>
      <c r="L79" s="15">
        <f t="shared" si="23"/>
        <v>15</v>
      </c>
      <c r="M79" s="17">
        <v>1</v>
      </c>
      <c r="N79" s="15">
        <f t="shared" si="24"/>
        <v>0.5</v>
      </c>
      <c r="O79" s="15">
        <f t="shared" si="25"/>
        <v>15</v>
      </c>
      <c r="P79" s="3">
        <v>0.5</v>
      </c>
      <c r="Q79" s="15">
        <f t="shared" si="26"/>
        <v>15</v>
      </c>
      <c r="R79" s="17">
        <v>2</v>
      </c>
      <c r="S79" s="15">
        <f t="shared" si="27"/>
        <v>1</v>
      </c>
      <c r="T79" s="15">
        <f t="shared" si="28"/>
        <v>30</v>
      </c>
      <c r="U79" s="4">
        <f t="shared" si="29"/>
        <v>1.5</v>
      </c>
      <c r="V79" s="3">
        <f t="shared" si="30"/>
        <v>45</v>
      </c>
      <c r="W79" s="19"/>
    </row>
    <row r="80" spans="1:23" x14ac:dyDescent="0.3">
      <c r="A80" s="7"/>
      <c r="B80" s="63"/>
      <c r="C80" s="13" t="s">
        <v>18</v>
      </c>
      <c r="D80" s="66"/>
      <c r="E80" s="66"/>
      <c r="F80" s="66"/>
      <c r="G80" s="66"/>
      <c r="H80" s="66"/>
      <c r="I80" s="15">
        <v>90</v>
      </c>
      <c r="J80" s="15">
        <v>30</v>
      </c>
      <c r="K80" s="3">
        <v>0.5</v>
      </c>
      <c r="L80" s="15">
        <f t="shared" si="23"/>
        <v>15</v>
      </c>
      <c r="M80" s="17">
        <v>1</v>
      </c>
      <c r="N80" s="15">
        <f t="shared" si="24"/>
        <v>0.5</v>
      </c>
      <c r="O80" s="15">
        <f t="shared" si="25"/>
        <v>15</v>
      </c>
      <c r="P80" s="3">
        <v>0.5</v>
      </c>
      <c r="Q80" s="15">
        <f t="shared" si="26"/>
        <v>15</v>
      </c>
      <c r="R80" s="17">
        <v>1</v>
      </c>
      <c r="S80" s="15">
        <f t="shared" si="27"/>
        <v>0.5</v>
      </c>
      <c r="T80" s="15">
        <f t="shared" si="28"/>
        <v>15</v>
      </c>
      <c r="U80" s="30">
        <v>0</v>
      </c>
      <c r="V80" s="28">
        <v>0</v>
      </c>
      <c r="W80" s="19"/>
    </row>
    <row r="81" spans="1:23" ht="36" x14ac:dyDescent="0.3">
      <c r="A81" s="7"/>
      <c r="B81" s="14" t="s">
        <v>69</v>
      </c>
      <c r="C81" s="64" t="s">
        <v>17</v>
      </c>
      <c r="D81" s="64">
        <v>48</v>
      </c>
      <c r="E81" s="64"/>
      <c r="F81" s="64"/>
      <c r="G81" s="64" t="s">
        <v>28</v>
      </c>
      <c r="H81" s="12">
        <v>4</v>
      </c>
      <c r="I81" s="15">
        <v>120</v>
      </c>
      <c r="J81" s="15">
        <v>45</v>
      </c>
      <c r="K81" s="3">
        <v>0.5</v>
      </c>
      <c r="L81" s="15">
        <f t="shared" si="23"/>
        <v>15</v>
      </c>
      <c r="M81" s="17">
        <v>1</v>
      </c>
      <c r="N81" s="15">
        <f t="shared" si="24"/>
        <v>0.5</v>
      </c>
      <c r="O81" s="15">
        <f t="shared" si="25"/>
        <v>15</v>
      </c>
      <c r="P81" s="3">
        <v>1</v>
      </c>
      <c r="Q81" s="15">
        <f t="shared" si="26"/>
        <v>30</v>
      </c>
      <c r="R81" s="17">
        <v>2</v>
      </c>
      <c r="S81" s="15">
        <f t="shared" si="27"/>
        <v>2</v>
      </c>
      <c r="T81" s="15">
        <f t="shared" si="28"/>
        <v>60</v>
      </c>
      <c r="U81" s="4">
        <f t="shared" si="29"/>
        <v>2.5</v>
      </c>
      <c r="V81" s="3">
        <f t="shared" si="30"/>
        <v>75</v>
      </c>
      <c r="W81" s="19"/>
    </row>
    <row r="82" spans="1:23" ht="36" x14ac:dyDescent="0.3">
      <c r="A82" s="7"/>
      <c r="B82" s="14" t="s">
        <v>70</v>
      </c>
      <c r="C82" s="66"/>
      <c r="D82" s="65"/>
      <c r="E82" s="65"/>
      <c r="F82" s="65"/>
      <c r="G82" s="65"/>
      <c r="H82" s="12">
        <v>4</v>
      </c>
      <c r="I82" s="15">
        <v>120</v>
      </c>
      <c r="J82" s="15">
        <v>45</v>
      </c>
      <c r="K82" s="3">
        <v>0.5</v>
      </c>
      <c r="L82" s="15">
        <f t="shared" si="23"/>
        <v>15</v>
      </c>
      <c r="M82" s="17">
        <v>1</v>
      </c>
      <c r="N82" s="15">
        <f t="shared" si="24"/>
        <v>0.5</v>
      </c>
      <c r="O82" s="15">
        <f t="shared" si="25"/>
        <v>15</v>
      </c>
      <c r="P82" s="3">
        <v>1</v>
      </c>
      <c r="Q82" s="15">
        <f t="shared" si="26"/>
        <v>30</v>
      </c>
      <c r="R82" s="17">
        <v>2</v>
      </c>
      <c r="S82" s="15">
        <f t="shared" si="27"/>
        <v>2</v>
      </c>
      <c r="T82" s="15">
        <f t="shared" si="28"/>
        <v>60</v>
      </c>
      <c r="U82" s="4">
        <f t="shared" si="29"/>
        <v>2.5</v>
      </c>
      <c r="V82" s="3">
        <f t="shared" si="30"/>
        <v>75</v>
      </c>
      <c r="W82" s="19"/>
    </row>
    <row r="83" spans="1:23" ht="36" x14ac:dyDescent="0.3">
      <c r="B83" s="14" t="s">
        <v>123</v>
      </c>
      <c r="C83" s="64" t="s">
        <v>18</v>
      </c>
      <c r="D83" s="64"/>
      <c r="E83" s="64">
        <v>76</v>
      </c>
      <c r="F83" s="64"/>
      <c r="G83" s="64" t="s">
        <v>122</v>
      </c>
      <c r="H83" s="12">
        <v>5</v>
      </c>
      <c r="I83" s="15">
        <v>150</v>
      </c>
      <c r="J83" s="15">
        <v>45</v>
      </c>
      <c r="K83" s="3">
        <v>0.5</v>
      </c>
      <c r="L83" s="15">
        <f t="shared" si="23"/>
        <v>15</v>
      </c>
      <c r="M83" s="17">
        <v>1</v>
      </c>
      <c r="N83" s="15">
        <f t="shared" si="24"/>
        <v>0.5</v>
      </c>
      <c r="O83" s="15">
        <f t="shared" si="25"/>
        <v>15</v>
      </c>
      <c r="P83" s="3">
        <v>1</v>
      </c>
      <c r="Q83" s="15">
        <f t="shared" si="26"/>
        <v>30</v>
      </c>
      <c r="R83" s="17">
        <v>3</v>
      </c>
      <c r="S83" s="15">
        <f t="shared" si="27"/>
        <v>3</v>
      </c>
      <c r="T83" s="15">
        <f t="shared" si="28"/>
        <v>90</v>
      </c>
      <c r="U83" s="4">
        <f t="shared" si="29"/>
        <v>3.5</v>
      </c>
      <c r="V83" s="3">
        <f t="shared" si="30"/>
        <v>105</v>
      </c>
      <c r="W83" s="19"/>
    </row>
    <row r="84" spans="1:23" x14ac:dyDescent="0.3">
      <c r="B84" s="14" t="s">
        <v>76</v>
      </c>
      <c r="C84" s="65"/>
      <c r="D84" s="65"/>
      <c r="E84" s="65"/>
      <c r="F84" s="65"/>
      <c r="G84" s="65"/>
      <c r="H84" s="12">
        <v>5</v>
      </c>
      <c r="I84" s="15">
        <v>150</v>
      </c>
      <c r="J84" s="15">
        <v>45</v>
      </c>
      <c r="K84" s="3">
        <v>0.5</v>
      </c>
      <c r="L84" s="15">
        <f t="shared" si="23"/>
        <v>15</v>
      </c>
      <c r="M84" s="17">
        <v>1</v>
      </c>
      <c r="N84" s="15">
        <f t="shared" si="24"/>
        <v>0.5</v>
      </c>
      <c r="O84" s="15">
        <f t="shared" si="25"/>
        <v>15</v>
      </c>
      <c r="P84" s="3">
        <v>1</v>
      </c>
      <c r="Q84" s="15">
        <f t="shared" si="26"/>
        <v>30</v>
      </c>
      <c r="R84" s="17">
        <v>3</v>
      </c>
      <c r="S84" s="15">
        <f t="shared" si="27"/>
        <v>3</v>
      </c>
      <c r="T84" s="15">
        <f t="shared" si="28"/>
        <v>90</v>
      </c>
      <c r="U84" s="4">
        <f t="shared" si="29"/>
        <v>3.5</v>
      </c>
      <c r="V84" s="3">
        <f t="shared" si="30"/>
        <v>105</v>
      </c>
      <c r="W84" s="19"/>
    </row>
    <row r="85" spans="1:23" ht="36" x14ac:dyDescent="0.3">
      <c r="B85" s="14" t="s">
        <v>102</v>
      </c>
      <c r="C85" s="66"/>
      <c r="D85" s="65"/>
      <c r="E85" s="65"/>
      <c r="F85" s="65"/>
      <c r="G85" s="65"/>
      <c r="H85" s="12">
        <v>5</v>
      </c>
      <c r="I85" s="15">
        <v>150</v>
      </c>
      <c r="J85" s="15">
        <v>45</v>
      </c>
      <c r="K85" s="3">
        <v>0.5</v>
      </c>
      <c r="L85" s="15">
        <f t="shared" si="23"/>
        <v>15</v>
      </c>
      <c r="M85" s="17">
        <v>1</v>
      </c>
      <c r="N85" s="15">
        <f t="shared" si="24"/>
        <v>0.5</v>
      </c>
      <c r="O85" s="15">
        <f t="shared" si="25"/>
        <v>15</v>
      </c>
      <c r="P85" s="3">
        <v>1</v>
      </c>
      <c r="Q85" s="15">
        <f t="shared" si="26"/>
        <v>30</v>
      </c>
      <c r="R85" s="17">
        <v>3</v>
      </c>
      <c r="S85" s="15">
        <f t="shared" si="27"/>
        <v>3</v>
      </c>
      <c r="T85" s="15">
        <f t="shared" si="28"/>
        <v>90</v>
      </c>
      <c r="U85" s="4">
        <f t="shared" si="29"/>
        <v>3.5</v>
      </c>
      <c r="V85" s="3">
        <f t="shared" si="30"/>
        <v>105</v>
      </c>
      <c r="W85" s="19"/>
    </row>
    <row r="86" spans="1:23" x14ac:dyDescent="0.3">
      <c r="B86" s="14" t="s">
        <v>129</v>
      </c>
      <c r="C86" s="64" t="s">
        <v>206</v>
      </c>
      <c r="D86" s="64">
        <v>27</v>
      </c>
      <c r="E86" s="64">
        <v>12</v>
      </c>
      <c r="F86" s="64"/>
      <c r="G86" s="64" t="s">
        <v>128</v>
      </c>
      <c r="H86" s="12">
        <v>10</v>
      </c>
      <c r="I86" s="15">
        <v>300</v>
      </c>
      <c r="J86" s="15">
        <v>90</v>
      </c>
      <c r="K86" s="3">
        <v>0</v>
      </c>
      <c r="L86" s="15">
        <f t="shared" si="23"/>
        <v>0</v>
      </c>
      <c r="M86" s="17">
        <v>0</v>
      </c>
      <c r="N86" s="15">
        <f t="shared" si="24"/>
        <v>0</v>
      </c>
      <c r="O86" s="15">
        <f t="shared" si="25"/>
        <v>0</v>
      </c>
      <c r="P86" s="3">
        <v>3</v>
      </c>
      <c r="Q86" s="15">
        <f t="shared" si="26"/>
        <v>90</v>
      </c>
      <c r="R86" s="38">
        <v>3</v>
      </c>
      <c r="S86" s="15">
        <f t="shared" si="27"/>
        <v>9</v>
      </c>
      <c r="T86" s="15">
        <f t="shared" si="28"/>
        <v>270</v>
      </c>
      <c r="U86" s="4">
        <f t="shared" si="29"/>
        <v>9</v>
      </c>
      <c r="V86" s="3">
        <f t="shared" si="30"/>
        <v>270</v>
      </c>
      <c r="W86" s="19"/>
    </row>
    <row r="87" spans="1:23" ht="36.75" customHeight="1" x14ac:dyDescent="0.35">
      <c r="A87" s="8"/>
      <c r="B87" s="14" t="s">
        <v>130</v>
      </c>
      <c r="C87" s="65"/>
      <c r="D87" s="65"/>
      <c r="E87" s="65"/>
      <c r="F87" s="65"/>
      <c r="G87" s="65"/>
      <c r="H87" s="16">
        <v>3</v>
      </c>
      <c r="I87" s="15">
        <v>90</v>
      </c>
      <c r="J87" s="15">
        <v>30</v>
      </c>
      <c r="K87" s="3">
        <v>0.5</v>
      </c>
      <c r="L87" s="15">
        <f t="shared" si="23"/>
        <v>15</v>
      </c>
      <c r="M87" s="9">
        <v>1</v>
      </c>
      <c r="N87" s="15">
        <f t="shared" si="24"/>
        <v>0.5</v>
      </c>
      <c r="O87" s="15">
        <f t="shared" si="25"/>
        <v>15</v>
      </c>
      <c r="P87" s="3">
        <v>0.5</v>
      </c>
      <c r="Q87" s="15">
        <f t="shared" si="26"/>
        <v>15</v>
      </c>
      <c r="R87" s="38">
        <v>3</v>
      </c>
      <c r="S87" s="15">
        <f t="shared" si="27"/>
        <v>1.5</v>
      </c>
      <c r="T87" s="15">
        <f t="shared" si="28"/>
        <v>45</v>
      </c>
      <c r="U87" s="4">
        <f t="shared" si="29"/>
        <v>2</v>
      </c>
      <c r="V87" s="3">
        <f t="shared" si="30"/>
        <v>60</v>
      </c>
      <c r="W87" s="10"/>
    </row>
    <row r="88" spans="1:23" x14ac:dyDescent="0.35">
      <c r="A88" s="8"/>
      <c r="B88" s="14" t="s">
        <v>131</v>
      </c>
      <c r="C88" s="65"/>
      <c r="D88" s="65"/>
      <c r="E88" s="65"/>
      <c r="F88" s="65"/>
      <c r="G88" s="65"/>
      <c r="H88" s="16">
        <v>4</v>
      </c>
      <c r="I88" s="15">
        <v>120</v>
      </c>
      <c r="J88" s="15">
        <v>45</v>
      </c>
      <c r="K88" s="3">
        <v>0</v>
      </c>
      <c r="L88" s="15">
        <f t="shared" si="23"/>
        <v>0</v>
      </c>
      <c r="M88" s="9">
        <v>0</v>
      </c>
      <c r="N88" s="15">
        <f t="shared" si="24"/>
        <v>0</v>
      </c>
      <c r="O88" s="15">
        <f t="shared" si="25"/>
        <v>0</v>
      </c>
      <c r="P88" s="3">
        <v>1.5</v>
      </c>
      <c r="Q88" s="15">
        <f t="shared" si="26"/>
        <v>45</v>
      </c>
      <c r="R88" s="38">
        <v>3</v>
      </c>
      <c r="S88" s="15">
        <f t="shared" si="27"/>
        <v>4.5</v>
      </c>
      <c r="T88" s="15">
        <f t="shared" si="28"/>
        <v>135</v>
      </c>
      <c r="U88" s="4">
        <f t="shared" si="29"/>
        <v>4.5</v>
      </c>
      <c r="V88" s="3">
        <f t="shared" si="30"/>
        <v>135</v>
      </c>
      <c r="W88" s="10"/>
    </row>
    <row r="89" spans="1:23" x14ac:dyDescent="0.3">
      <c r="A89" s="7"/>
      <c r="B89" s="14" t="s">
        <v>132</v>
      </c>
      <c r="C89" s="66"/>
      <c r="D89" s="65"/>
      <c r="E89" s="65"/>
      <c r="F89" s="65"/>
      <c r="G89" s="65"/>
      <c r="H89" s="12">
        <v>3</v>
      </c>
      <c r="I89" s="15">
        <v>90</v>
      </c>
      <c r="J89" s="15">
        <v>30</v>
      </c>
      <c r="K89" s="3">
        <v>0</v>
      </c>
      <c r="L89" s="15">
        <f t="shared" si="23"/>
        <v>0</v>
      </c>
      <c r="M89" s="17">
        <v>0</v>
      </c>
      <c r="N89" s="15">
        <f t="shared" si="24"/>
        <v>0</v>
      </c>
      <c r="O89" s="15">
        <f t="shared" si="25"/>
        <v>0</v>
      </c>
      <c r="P89" s="3">
        <v>1</v>
      </c>
      <c r="Q89" s="15">
        <f t="shared" si="26"/>
        <v>30</v>
      </c>
      <c r="R89" s="38">
        <v>3</v>
      </c>
      <c r="S89" s="15">
        <f t="shared" si="27"/>
        <v>3</v>
      </c>
      <c r="T89" s="15">
        <f t="shared" si="28"/>
        <v>90</v>
      </c>
      <c r="U89" s="4">
        <f t="shared" si="29"/>
        <v>3</v>
      </c>
      <c r="V89" s="3">
        <f t="shared" si="30"/>
        <v>90</v>
      </c>
      <c r="W89" s="19"/>
    </row>
    <row r="90" spans="1:23" ht="37.950000000000003" customHeight="1" x14ac:dyDescent="0.3">
      <c r="A90" s="7"/>
      <c r="B90" s="14" t="s">
        <v>135</v>
      </c>
      <c r="C90" s="64" t="s">
        <v>206</v>
      </c>
      <c r="D90" s="64">
        <v>36</v>
      </c>
      <c r="E90" s="64">
        <v>3</v>
      </c>
      <c r="F90" s="64"/>
      <c r="G90" s="64" t="s">
        <v>134</v>
      </c>
      <c r="H90" s="12">
        <v>5</v>
      </c>
      <c r="I90" s="15">
        <v>150</v>
      </c>
      <c r="J90" s="15">
        <v>45</v>
      </c>
      <c r="K90" s="3">
        <v>0.5</v>
      </c>
      <c r="L90" s="15">
        <f t="shared" si="23"/>
        <v>15</v>
      </c>
      <c r="M90" s="17">
        <v>1</v>
      </c>
      <c r="N90" s="15">
        <f t="shared" si="24"/>
        <v>0.5</v>
      </c>
      <c r="O90" s="15">
        <f t="shared" si="25"/>
        <v>15</v>
      </c>
      <c r="P90" s="3">
        <v>1</v>
      </c>
      <c r="Q90" s="15">
        <f t="shared" si="26"/>
        <v>30</v>
      </c>
      <c r="R90" s="17">
        <v>2</v>
      </c>
      <c r="S90" s="15">
        <f t="shared" si="27"/>
        <v>2</v>
      </c>
      <c r="T90" s="15">
        <f t="shared" si="28"/>
        <v>60</v>
      </c>
      <c r="U90" s="4">
        <f t="shared" si="29"/>
        <v>2.5</v>
      </c>
      <c r="V90" s="3">
        <f t="shared" si="30"/>
        <v>75</v>
      </c>
      <c r="W90" s="19"/>
    </row>
    <row r="91" spans="1:23" ht="35.25" customHeight="1" x14ac:dyDescent="0.3">
      <c r="A91" s="7"/>
      <c r="B91" s="14" t="s">
        <v>136</v>
      </c>
      <c r="C91" s="66"/>
      <c r="D91" s="65"/>
      <c r="E91" s="65"/>
      <c r="F91" s="65"/>
      <c r="G91" s="65"/>
      <c r="H91" s="12">
        <v>6</v>
      </c>
      <c r="I91" s="15">
        <v>180</v>
      </c>
      <c r="J91" s="15">
        <v>60</v>
      </c>
      <c r="K91" s="3">
        <v>0</v>
      </c>
      <c r="L91" s="15">
        <f t="shared" si="23"/>
        <v>0</v>
      </c>
      <c r="M91" s="17">
        <v>0</v>
      </c>
      <c r="N91" s="15">
        <f t="shared" si="24"/>
        <v>0</v>
      </c>
      <c r="O91" s="15">
        <f t="shared" si="25"/>
        <v>0</v>
      </c>
      <c r="P91" s="3">
        <v>2</v>
      </c>
      <c r="Q91" s="15">
        <f t="shared" si="26"/>
        <v>60</v>
      </c>
      <c r="R91" s="17">
        <v>2</v>
      </c>
      <c r="S91" s="15">
        <f t="shared" si="27"/>
        <v>4</v>
      </c>
      <c r="T91" s="15">
        <f t="shared" si="28"/>
        <v>120</v>
      </c>
      <c r="U91" s="4">
        <f t="shared" si="29"/>
        <v>4</v>
      </c>
      <c r="V91" s="3">
        <f t="shared" si="30"/>
        <v>120</v>
      </c>
      <c r="W91" s="19"/>
    </row>
    <row r="92" spans="1:23" x14ac:dyDescent="0.3">
      <c r="A92" s="7"/>
      <c r="B92" s="62" t="s">
        <v>79</v>
      </c>
      <c r="C92" s="13" t="s">
        <v>17</v>
      </c>
      <c r="D92" s="65"/>
      <c r="E92" s="65"/>
      <c r="F92" s="65"/>
      <c r="G92" s="65"/>
      <c r="H92" s="64">
        <v>4</v>
      </c>
      <c r="I92" s="15">
        <v>120</v>
      </c>
      <c r="J92" s="15">
        <v>45</v>
      </c>
      <c r="K92" s="3">
        <v>0.5</v>
      </c>
      <c r="L92" s="15">
        <f t="shared" si="23"/>
        <v>15</v>
      </c>
      <c r="M92" s="17">
        <v>1</v>
      </c>
      <c r="N92" s="15">
        <f t="shared" si="24"/>
        <v>0.5</v>
      </c>
      <c r="O92" s="15">
        <f t="shared" si="25"/>
        <v>15</v>
      </c>
      <c r="P92" s="3">
        <v>1</v>
      </c>
      <c r="Q92" s="15">
        <f t="shared" si="26"/>
        <v>30</v>
      </c>
      <c r="R92" s="17">
        <v>2</v>
      </c>
      <c r="S92" s="15">
        <f t="shared" si="27"/>
        <v>2</v>
      </c>
      <c r="T92" s="15">
        <f t="shared" si="28"/>
        <v>60</v>
      </c>
      <c r="U92" s="4">
        <f t="shared" si="29"/>
        <v>2.5</v>
      </c>
      <c r="V92" s="3">
        <f t="shared" si="30"/>
        <v>75</v>
      </c>
      <c r="W92" s="19"/>
    </row>
    <row r="93" spans="1:23" x14ac:dyDescent="0.3">
      <c r="A93" s="7"/>
      <c r="B93" s="63"/>
      <c r="C93" s="13" t="s">
        <v>18</v>
      </c>
      <c r="D93" s="66"/>
      <c r="E93" s="66"/>
      <c r="F93" s="66"/>
      <c r="G93" s="66"/>
      <c r="H93" s="66"/>
      <c r="I93" s="15">
        <v>120</v>
      </c>
      <c r="J93" s="15">
        <v>45</v>
      </c>
      <c r="K93" s="3">
        <v>0.5</v>
      </c>
      <c r="L93" s="15">
        <f t="shared" si="23"/>
        <v>15</v>
      </c>
      <c r="M93" s="17">
        <v>1</v>
      </c>
      <c r="N93" s="15">
        <f t="shared" si="24"/>
        <v>0.5</v>
      </c>
      <c r="O93" s="15">
        <f t="shared" si="25"/>
        <v>15</v>
      </c>
      <c r="P93" s="3">
        <v>1</v>
      </c>
      <c r="Q93" s="15">
        <f t="shared" si="26"/>
        <v>30</v>
      </c>
      <c r="R93" s="17">
        <v>1</v>
      </c>
      <c r="S93" s="15">
        <f t="shared" si="27"/>
        <v>1</v>
      </c>
      <c r="T93" s="15">
        <f t="shared" si="28"/>
        <v>30</v>
      </c>
      <c r="U93" s="4">
        <f t="shared" si="29"/>
        <v>1.5</v>
      </c>
      <c r="V93" s="3">
        <f t="shared" si="30"/>
        <v>45</v>
      </c>
      <c r="W93" s="19"/>
    </row>
    <row r="94" spans="1:23" x14ac:dyDescent="0.3">
      <c r="A94" s="7"/>
      <c r="B94" s="14" t="s">
        <v>138</v>
      </c>
      <c r="C94" s="64" t="s">
        <v>206</v>
      </c>
      <c r="D94" s="64">
        <v>80</v>
      </c>
      <c r="E94" s="64">
        <v>13</v>
      </c>
      <c r="F94" s="64"/>
      <c r="G94" s="64" t="s">
        <v>29</v>
      </c>
      <c r="H94" s="12">
        <v>4</v>
      </c>
      <c r="I94" s="15">
        <v>120</v>
      </c>
      <c r="J94" s="15">
        <v>45</v>
      </c>
      <c r="K94" s="3">
        <v>0</v>
      </c>
      <c r="L94" s="15">
        <f t="shared" si="23"/>
        <v>0</v>
      </c>
      <c r="M94" s="17">
        <v>0</v>
      </c>
      <c r="N94" s="15">
        <f t="shared" si="24"/>
        <v>0</v>
      </c>
      <c r="O94" s="15">
        <f t="shared" si="25"/>
        <v>0</v>
      </c>
      <c r="P94" s="3">
        <v>1.5</v>
      </c>
      <c r="Q94" s="15">
        <f t="shared" si="26"/>
        <v>45</v>
      </c>
      <c r="R94" s="38">
        <v>5</v>
      </c>
      <c r="S94" s="15">
        <f t="shared" si="27"/>
        <v>7.5</v>
      </c>
      <c r="T94" s="15">
        <f t="shared" si="28"/>
        <v>225</v>
      </c>
      <c r="U94" s="4">
        <f t="shared" si="29"/>
        <v>7.5</v>
      </c>
      <c r="V94" s="3">
        <f t="shared" si="30"/>
        <v>225</v>
      </c>
      <c r="W94" s="19"/>
    </row>
    <row r="95" spans="1:23" ht="132.75" customHeight="1" x14ac:dyDescent="0.3">
      <c r="A95" s="7"/>
      <c r="B95" s="14" t="s">
        <v>71</v>
      </c>
      <c r="C95" s="66"/>
      <c r="D95" s="65"/>
      <c r="E95" s="65"/>
      <c r="F95" s="65"/>
      <c r="G95" s="65"/>
      <c r="H95" s="12">
        <v>4</v>
      </c>
      <c r="I95" s="15">
        <v>120</v>
      </c>
      <c r="J95" s="15">
        <v>45</v>
      </c>
      <c r="K95" s="3">
        <v>0</v>
      </c>
      <c r="L95" s="15">
        <f t="shared" si="23"/>
        <v>0</v>
      </c>
      <c r="M95" s="17">
        <v>0</v>
      </c>
      <c r="N95" s="15">
        <f t="shared" si="24"/>
        <v>0</v>
      </c>
      <c r="O95" s="15">
        <f t="shared" si="25"/>
        <v>0</v>
      </c>
      <c r="P95" s="3">
        <v>1.5</v>
      </c>
      <c r="Q95" s="15">
        <f t="shared" si="26"/>
        <v>45</v>
      </c>
      <c r="R95" s="38">
        <v>6</v>
      </c>
      <c r="S95" s="15">
        <f t="shared" si="27"/>
        <v>9</v>
      </c>
      <c r="T95" s="15">
        <f t="shared" si="28"/>
        <v>270</v>
      </c>
      <c r="U95" s="4">
        <f t="shared" si="29"/>
        <v>9</v>
      </c>
      <c r="V95" s="3">
        <f t="shared" si="30"/>
        <v>270</v>
      </c>
      <c r="W95" s="42" t="s">
        <v>556</v>
      </c>
    </row>
    <row r="96" spans="1:23" ht="31.95" customHeight="1" x14ac:dyDescent="0.35">
      <c r="A96" s="8"/>
      <c r="B96" s="62" t="s">
        <v>104</v>
      </c>
      <c r="C96" s="13" t="s">
        <v>17</v>
      </c>
      <c r="D96" s="65"/>
      <c r="E96" s="65"/>
      <c r="F96" s="65"/>
      <c r="G96" s="65"/>
      <c r="H96" s="87">
        <v>4</v>
      </c>
      <c r="I96" s="15">
        <v>120</v>
      </c>
      <c r="J96" s="15">
        <v>45</v>
      </c>
      <c r="K96" s="3">
        <v>0.5</v>
      </c>
      <c r="L96" s="15">
        <f t="shared" si="23"/>
        <v>15</v>
      </c>
      <c r="M96" s="9">
        <v>1</v>
      </c>
      <c r="N96" s="15">
        <f t="shared" si="24"/>
        <v>0.5</v>
      </c>
      <c r="O96" s="15">
        <f t="shared" si="25"/>
        <v>15</v>
      </c>
      <c r="P96" s="3">
        <v>1</v>
      </c>
      <c r="Q96" s="15">
        <f t="shared" si="26"/>
        <v>30</v>
      </c>
      <c r="R96" s="9">
        <v>3</v>
      </c>
      <c r="S96" s="15">
        <f t="shared" si="27"/>
        <v>3</v>
      </c>
      <c r="T96" s="15">
        <f t="shared" si="28"/>
        <v>90</v>
      </c>
      <c r="U96" s="4">
        <f t="shared" si="29"/>
        <v>3.5</v>
      </c>
      <c r="V96" s="3">
        <f t="shared" si="30"/>
        <v>105</v>
      </c>
      <c r="W96" s="10"/>
    </row>
    <row r="97" spans="1:24" ht="36" customHeight="1" x14ac:dyDescent="0.35">
      <c r="A97" s="8"/>
      <c r="B97" s="63"/>
      <c r="C97" s="13" t="s">
        <v>18</v>
      </c>
      <c r="D97" s="66"/>
      <c r="E97" s="66"/>
      <c r="F97" s="66"/>
      <c r="G97" s="66"/>
      <c r="H97" s="88"/>
      <c r="I97" s="15">
        <v>120</v>
      </c>
      <c r="J97" s="15">
        <v>45</v>
      </c>
      <c r="K97" s="3">
        <v>0.5</v>
      </c>
      <c r="L97" s="15">
        <f t="shared" si="23"/>
        <v>15</v>
      </c>
      <c r="M97" s="9">
        <v>1</v>
      </c>
      <c r="N97" s="15">
        <f t="shared" si="24"/>
        <v>0.5</v>
      </c>
      <c r="O97" s="15">
        <f t="shared" si="25"/>
        <v>15</v>
      </c>
      <c r="P97" s="3">
        <v>1</v>
      </c>
      <c r="Q97" s="15">
        <f t="shared" si="26"/>
        <v>30</v>
      </c>
      <c r="R97" s="9">
        <v>1</v>
      </c>
      <c r="S97" s="15">
        <f t="shared" si="27"/>
        <v>1</v>
      </c>
      <c r="T97" s="15">
        <f t="shared" si="28"/>
        <v>30</v>
      </c>
      <c r="U97" s="4">
        <f t="shared" si="29"/>
        <v>1.5</v>
      </c>
      <c r="V97" s="3">
        <f t="shared" si="30"/>
        <v>45</v>
      </c>
      <c r="W97" s="20"/>
    </row>
    <row r="98" spans="1:24" x14ac:dyDescent="0.3">
      <c r="A98" s="7"/>
      <c r="B98" s="68" t="s">
        <v>75</v>
      </c>
      <c r="C98" s="13" t="s">
        <v>18</v>
      </c>
      <c r="D98" s="64"/>
      <c r="E98" s="64">
        <v>43</v>
      </c>
      <c r="F98" s="64">
        <v>15</v>
      </c>
      <c r="G98" s="64" t="s">
        <v>74</v>
      </c>
      <c r="H98" s="64">
        <v>6</v>
      </c>
      <c r="I98" s="15">
        <v>180</v>
      </c>
      <c r="J98" s="15">
        <v>60</v>
      </c>
      <c r="K98" s="3">
        <v>0</v>
      </c>
      <c r="L98" s="15">
        <f>K98*30</f>
        <v>0</v>
      </c>
      <c r="M98" s="17">
        <v>0</v>
      </c>
      <c r="N98" s="15">
        <f>K98*M98</f>
        <v>0</v>
      </c>
      <c r="O98" s="15">
        <f>L98*M98</f>
        <v>0</v>
      </c>
      <c r="P98" s="3">
        <v>2</v>
      </c>
      <c r="Q98" s="15">
        <f>P98*30</f>
        <v>60</v>
      </c>
      <c r="R98" s="38">
        <v>3</v>
      </c>
      <c r="S98" s="15">
        <f>P98*R98</f>
        <v>6</v>
      </c>
      <c r="T98" s="15">
        <f>Q98*R98</f>
        <v>180</v>
      </c>
      <c r="U98" s="4">
        <f t="shared" ref="U98:V100" si="31">N98+S98</f>
        <v>6</v>
      </c>
      <c r="V98" s="3">
        <f t="shared" si="31"/>
        <v>180</v>
      </c>
      <c r="W98" s="19"/>
    </row>
    <row r="99" spans="1:24" x14ac:dyDescent="0.3">
      <c r="A99" s="7"/>
      <c r="B99" s="69"/>
      <c r="C99" s="13" t="s">
        <v>149</v>
      </c>
      <c r="D99" s="65"/>
      <c r="E99" s="65"/>
      <c r="F99" s="65"/>
      <c r="G99" s="65"/>
      <c r="H99" s="66"/>
      <c r="I99" s="15">
        <v>180</v>
      </c>
      <c r="J99" s="15">
        <v>60</v>
      </c>
      <c r="K99" s="3">
        <v>0</v>
      </c>
      <c r="L99" s="15">
        <f>K99*30</f>
        <v>0</v>
      </c>
      <c r="M99" s="17">
        <v>0</v>
      </c>
      <c r="N99" s="15">
        <f>K99*M99</f>
        <v>0</v>
      </c>
      <c r="O99" s="15">
        <f>L99*M99</f>
        <v>0</v>
      </c>
      <c r="P99" s="3">
        <v>2</v>
      </c>
      <c r="Q99" s="15">
        <f>P99*30</f>
        <v>60</v>
      </c>
      <c r="R99" s="17">
        <v>1</v>
      </c>
      <c r="S99" s="15">
        <f>P99*R99</f>
        <v>2</v>
      </c>
      <c r="T99" s="15">
        <f>Q99*R99</f>
        <v>60</v>
      </c>
      <c r="U99" s="4">
        <f t="shared" si="31"/>
        <v>2</v>
      </c>
      <c r="V99" s="3">
        <f t="shared" si="31"/>
        <v>60</v>
      </c>
      <c r="W99" s="19"/>
    </row>
    <row r="100" spans="1:24" x14ac:dyDescent="0.3">
      <c r="B100" s="44" t="s">
        <v>146</v>
      </c>
      <c r="C100" s="15" t="s">
        <v>206</v>
      </c>
      <c r="D100" s="15">
        <v>6</v>
      </c>
      <c r="E100" s="15">
        <v>7</v>
      </c>
      <c r="F100" s="15"/>
      <c r="G100" s="15" t="s">
        <v>145</v>
      </c>
      <c r="H100" s="15">
        <v>4</v>
      </c>
      <c r="I100" s="15">
        <v>120</v>
      </c>
      <c r="J100" s="15">
        <v>45</v>
      </c>
      <c r="K100" s="3">
        <v>0</v>
      </c>
      <c r="L100" s="15">
        <f>K100*30</f>
        <v>0</v>
      </c>
      <c r="M100" s="17">
        <v>0</v>
      </c>
      <c r="N100" s="15">
        <f>K100*M100</f>
        <v>0</v>
      </c>
      <c r="O100" s="15">
        <f>L100*M100</f>
        <v>0</v>
      </c>
      <c r="P100" s="3">
        <v>1.5</v>
      </c>
      <c r="Q100" s="15">
        <f>P100*30</f>
        <v>45</v>
      </c>
      <c r="R100" s="17">
        <v>1</v>
      </c>
      <c r="S100" s="15">
        <f>P100*R100</f>
        <v>1.5</v>
      </c>
      <c r="T100" s="15">
        <f>Q100*R100</f>
        <v>45</v>
      </c>
      <c r="U100" s="4">
        <f t="shared" si="31"/>
        <v>1.5</v>
      </c>
      <c r="V100" s="3">
        <f t="shared" si="31"/>
        <v>45</v>
      </c>
      <c r="W100" s="19"/>
    </row>
    <row r="101" spans="1:24" x14ac:dyDescent="0.35">
      <c r="X101">
        <f>SUM(X5:X100)</f>
        <v>27</v>
      </c>
    </row>
  </sheetData>
  <autoFilter ref="A4:W100" xr:uid="{00000000-0009-0000-0000-000001000000}"/>
  <mergeCells count="202">
    <mergeCell ref="B10:B12"/>
    <mergeCell ref="D10:D12"/>
    <mergeCell ref="E10:E12"/>
    <mergeCell ref="F10:F12"/>
    <mergeCell ref="G10:G12"/>
    <mergeCell ref="H10:H12"/>
    <mergeCell ref="B5:B6"/>
    <mergeCell ref="D5:D6"/>
    <mergeCell ref="E5:E6"/>
    <mergeCell ref="F5:F6"/>
    <mergeCell ref="G5:G6"/>
    <mergeCell ref="H5:H6"/>
    <mergeCell ref="B7:B9"/>
    <mergeCell ref="D7:D9"/>
    <mergeCell ref="E7:E9"/>
    <mergeCell ref="F7:F9"/>
    <mergeCell ref="G7:G9"/>
    <mergeCell ref="H7:H9"/>
    <mergeCell ref="E15:E16"/>
    <mergeCell ref="E73:E80"/>
    <mergeCell ref="E69:E72"/>
    <mergeCell ref="E65:E68"/>
    <mergeCell ref="E61:E64"/>
    <mergeCell ref="E57:E60"/>
    <mergeCell ref="E53:E56"/>
    <mergeCell ref="E49:E52"/>
    <mergeCell ref="E43:E48"/>
    <mergeCell ref="E41:E42"/>
    <mergeCell ref="E38:E40"/>
    <mergeCell ref="E36:E37"/>
    <mergeCell ref="E28:E35"/>
    <mergeCell ref="E24:E27"/>
    <mergeCell ref="E20:E23"/>
    <mergeCell ref="B96:B97"/>
    <mergeCell ref="B79:B80"/>
    <mergeCell ref="B75:B76"/>
    <mergeCell ref="B77:B78"/>
    <mergeCell ref="B71:B72"/>
    <mergeCell ref="B61:B62"/>
    <mergeCell ref="B57:B58"/>
    <mergeCell ref="B69:B70"/>
    <mergeCell ref="B63:B64"/>
    <mergeCell ref="B92:B93"/>
    <mergeCell ref="D24:D27"/>
    <mergeCell ref="F24:F27"/>
    <mergeCell ref="G24:G27"/>
    <mergeCell ref="B17:B19"/>
    <mergeCell ref="B32:B33"/>
    <mergeCell ref="B20:B21"/>
    <mergeCell ref="B30:B31"/>
    <mergeCell ref="D28:D35"/>
    <mergeCell ref="F28:F35"/>
    <mergeCell ref="G28:G35"/>
    <mergeCell ref="G17:G19"/>
    <mergeCell ref="F17:F19"/>
    <mergeCell ref="E17:E19"/>
    <mergeCell ref="D17:D19"/>
    <mergeCell ref="F57:F60"/>
    <mergeCell ref="G73:G80"/>
    <mergeCell ref="D73:D80"/>
    <mergeCell ref="F73:F80"/>
    <mergeCell ref="H67:H68"/>
    <mergeCell ref="D94:D97"/>
    <mergeCell ref="E94:E97"/>
    <mergeCell ref="F94:F97"/>
    <mergeCell ref="G98:G99"/>
    <mergeCell ref="D98:D99"/>
    <mergeCell ref="E98:E99"/>
    <mergeCell ref="F98:F99"/>
    <mergeCell ref="E86:E89"/>
    <mergeCell ref="E83:E85"/>
    <mergeCell ref="E81:E82"/>
    <mergeCell ref="G83:G85"/>
    <mergeCell ref="F65:F68"/>
    <mergeCell ref="G57:G60"/>
    <mergeCell ref="G61:G64"/>
    <mergeCell ref="D61:D64"/>
    <mergeCell ref="F61:F64"/>
    <mergeCell ref="D57:D60"/>
    <mergeCell ref="C81:C82"/>
    <mergeCell ref="C83:C85"/>
    <mergeCell ref="G90:G93"/>
    <mergeCell ref="D90:D93"/>
    <mergeCell ref="F90:F93"/>
    <mergeCell ref="G86:G89"/>
    <mergeCell ref="D86:D89"/>
    <mergeCell ref="F86:F89"/>
    <mergeCell ref="D83:D85"/>
    <mergeCell ref="F83:F85"/>
    <mergeCell ref="G81:G82"/>
    <mergeCell ref="D81:D82"/>
    <mergeCell ref="F81:F82"/>
    <mergeCell ref="C90:C91"/>
    <mergeCell ref="C86:C89"/>
    <mergeCell ref="E90:E93"/>
    <mergeCell ref="D13:D14"/>
    <mergeCell ref="F13:F14"/>
    <mergeCell ref="G13:G14"/>
    <mergeCell ref="H13:H14"/>
    <mergeCell ref="E13:E14"/>
    <mergeCell ref="H17:H19"/>
    <mergeCell ref="C94:C95"/>
    <mergeCell ref="B45:B46"/>
    <mergeCell ref="H45:H46"/>
    <mergeCell ref="B49:B50"/>
    <mergeCell ref="H49:H50"/>
    <mergeCell ref="B51:B52"/>
    <mergeCell ref="H51:H52"/>
    <mergeCell ref="H53:H54"/>
    <mergeCell ref="H71:H72"/>
    <mergeCell ref="B73:B74"/>
    <mergeCell ref="H73:H74"/>
    <mergeCell ref="G69:G72"/>
    <mergeCell ref="D69:D72"/>
    <mergeCell ref="F69:F72"/>
    <mergeCell ref="B55:B56"/>
    <mergeCell ref="H55:H56"/>
    <mergeCell ref="B53:B54"/>
    <mergeCell ref="H65:H66"/>
    <mergeCell ref="B2:B4"/>
    <mergeCell ref="C2:C4"/>
    <mergeCell ref="D2:F3"/>
    <mergeCell ref="G2:G4"/>
    <mergeCell ref="H2:H4"/>
    <mergeCell ref="I2:I4"/>
    <mergeCell ref="J2:J4"/>
    <mergeCell ref="K2:K4"/>
    <mergeCell ref="B34:B35"/>
    <mergeCell ref="H20:H21"/>
    <mergeCell ref="B22:B23"/>
    <mergeCell ref="H34:H35"/>
    <mergeCell ref="H22:H23"/>
    <mergeCell ref="C24:C27"/>
    <mergeCell ref="H32:H33"/>
    <mergeCell ref="B15:B16"/>
    <mergeCell ref="D15:D16"/>
    <mergeCell ref="F15:F16"/>
    <mergeCell ref="G15:G16"/>
    <mergeCell ref="H15:H16"/>
    <mergeCell ref="G20:G23"/>
    <mergeCell ref="F20:F23"/>
    <mergeCell ref="D20:D23"/>
    <mergeCell ref="B13:B14"/>
    <mergeCell ref="V2:V4"/>
    <mergeCell ref="W2:W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L2:L4"/>
    <mergeCell ref="G36:G37"/>
    <mergeCell ref="F36:F37"/>
    <mergeCell ref="D36:D37"/>
    <mergeCell ref="G53:G56"/>
    <mergeCell ref="D53:D56"/>
    <mergeCell ref="F53:F56"/>
    <mergeCell ref="B47:B48"/>
    <mergeCell ref="G49:G52"/>
    <mergeCell ref="D43:D48"/>
    <mergeCell ref="F43:F48"/>
    <mergeCell ref="G43:G48"/>
    <mergeCell ref="F49:F52"/>
    <mergeCell ref="D49:D52"/>
    <mergeCell ref="B43:B44"/>
    <mergeCell ref="B41:B42"/>
    <mergeCell ref="D41:D42"/>
    <mergeCell ref="F41:F42"/>
    <mergeCell ref="G41:G42"/>
    <mergeCell ref="D38:D40"/>
    <mergeCell ref="F38:F40"/>
    <mergeCell ref="C38:C40"/>
    <mergeCell ref="H30:H31"/>
    <mergeCell ref="H28:H29"/>
    <mergeCell ref="B98:B99"/>
    <mergeCell ref="B65:B66"/>
    <mergeCell ref="B59:B60"/>
    <mergeCell ref="H57:H58"/>
    <mergeCell ref="H59:H60"/>
    <mergeCell ref="B28:B29"/>
    <mergeCell ref="C36:C37"/>
    <mergeCell ref="H61:H62"/>
    <mergeCell ref="H63:H64"/>
    <mergeCell ref="H41:H42"/>
    <mergeCell ref="H47:H48"/>
    <mergeCell ref="H43:H44"/>
    <mergeCell ref="H96:H97"/>
    <mergeCell ref="H79:H80"/>
    <mergeCell ref="H75:H76"/>
    <mergeCell ref="H77:H78"/>
    <mergeCell ref="H98:H99"/>
    <mergeCell ref="H92:H93"/>
    <mergeCell ref="H69:H70"/>
    <mergeCell ref="G65:G68"/>
    <mergeCell ref="D65:D68"/>
    <mergeCell ref="G38:G40"/>
    <mergeCell ref="G94:G97"/>
    <mergeCell ref="B67:B68"/>
  </mergeCells>
  <pageMargins left="0.7" right="0.7" top="0.75" bottom="0.75" header="0.3" footer="0.3"/>
  <pageSetup paperSize="9" scale="2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W48"/>
  <sheetViews>
    <sheetView zoomScale="40" zoomScaleNormal="4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V27" sqref="V27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ht="36" x14ac:dyDescent="0.3">
      <c r="A5" s="7" t="s">
        <v>139</v>
      </c>
      <c r="B5" s="14" t="s">
        <v>152</v>
      </c>
      <c r="C5" s="13" t="s">
        <v>17</v>
      </c>
      <c r="D5" s="12">
        <v>19</v>
      </c>
      <c r="E5" s="12"/>
      <c r="F5" s="12" t="s">
        <v>177</v>
      </c>
      <c r="G5" s="12">
        <v>4</v>
      </c>
      <c r="H5" s="15">
        <v>120</v>
      </c>
      <c r="I5" s="15">
        <v>45</v>
      </c>
      <c r="J5" s="3">
        <v>0.5</v>
      </c>
      <c r="K5" s="15">
        <f>J5*30</f>
        <v>15</v>
      </c>
      <c r="L5" s="17">
        <v>1</v>
      </c>
      <c r="M5" s="15">
        <f>J5*L5</f>
        <v>0.5</v>
      </c>
      <c r="N5" s="15">
        <f>K5*L5</f>
        <v>15</v>
      </c>
      <c r="O5" s="3">
        <v>1</v>
      </c>
      <c r="P5" s="15">
        <f>O5*30</f>
        <v>30</v>
      </c>
      <c r="Q5" s="17">
        <v>1</v>
      </c>
      <c r="R5" s="15">
        <f>O5*Q5</f>
        <v>1</v>
      </c>
      <c r="S5" s="15">
        <f>P5*Q5</f>
        <v>30</v>
      </c>
      <c r="T5" s="4">
        <f>M5+R5</f>
        <v>1.5</v>
      </c>
      <c r="U5" s="3">
        <f>N5+S5</f>
        <v>45</v>
      </c>
      <c r="V5" s="19"/>
    </row>
    <row r="6" spans="1:22" ht="37.5" customHeight="1" x14ac:dyDescent="0.3">
      <c r="A6" s="96" t="s">
        <v>140</v>
      </c>
      <c r="B6" s="62" t="s">
        <v>152</v>
      </c>
      <c r="C6" s="13" t="s">
        <v>17</v>
      </c>
      <c r="D6" s="64">
        <v>40</v>
      </c>
      <c r="E6" s="64">
        <v>8</v>
      </c>
      <c r="F6" s="64" t="s">
        <v>563</v>
      </c>
      <c r="G6" s="64">
        <v>4</v>
      </c>
      <c r="H6" s="15">
        <v>120</v>
      </c>
      <c r="I6" s="15">
        <v>45</v>
      </c>
      <c r="J6" s="3">
        <v>0.5</v>
      </c>
      <c r="K6" s="15">
        <f t="shared" ref="K6:K48" si="0">J6*30</f>
        <v>15</v>
      </c>
      <c r="L6" s="17">
        <v>1</v>
      </c>
      <c r="M6" s="15">
        <f t="shared" ref="M6:M48" si="1">J6*L6</f>
        <v>0.5</v>
      </c>
      <c r="N6" s="15">
        <f t="shared" ref="N6:N48" si="2">K6*L6</f>
        <v>15</v>
      </c>
      <c r="O6" s="3">
        <v>1</v>
      </c>
      <c r="P6" s="15">
        <f t="shared" ref="P6:P48" si="3">O6*30</f>
        <v>30</v>
      </c>
      <c r="Q6" s="17">
        <v>2</v>
      </c>
      <c r="R6" s="15">
        <f>O6*Q6</f>
        <v>2</v>
      </c>
      <c r="S6" s="15">
        <f t="shared" ref="S6:S48" si="4">P6*Q6</f>
        <v>60</v>
      </c>
      <c r="T6" s="4">
        <f>M6+R6</f>
        <v>2.5</v>
      </c>
      <c r="U6" s="3">
        <f t="shared" ref="U6:U48" si="5">N6+S6</f>
        <v>75</v>
      </c>
      <c r="V6" s="19"/>
    </row>
    <row r="7" spans="1:22" x14ac:dyDescent="0.3">
      <c r="A7" s="96"/>
      <c r="B7" s="63"/>
      <c r="C7" s="13" t="s">
        <v>18</v>
      </c>
      <c r="D7" s="66"/>
      <c r="E7" s="66"/>
      <c r="F7" s="66"/>
      <c r="G7" s="66"/>
      <c r="H7" s="15">
        <v>120</v>
      </c>
      <c r="I7" s="15">
        <v>45</v>
      </c>
      <c r="J7" s="3">
        <v>0.5</v>
      </c>
      <c r="K7" s="15">
        <f>J7*30</f>
        <v>15</v>
      </c>
      <c r="L7" s="17">
        <v>1</v>
      </c>
      <c r="M7" s="15">
        <f>J7*L7</f>
        <v>0.5</v>
      </c>
      <c r="N7" s="15">
        <f>K7*L7</f>
        <v>15</v>
      </c>
      <c r="O7" s="3">
        <v>1</v>
      </c>
      <c r="P7" s="15">
        <f>O7*30</f>
        <v>30</v>
      </c>
      <c r="Q7" s="17">
        <v>1</v>
      </c>
      <c r="R7" s="15">
        <f>O7*Q7</f>
        <v>1</v>
      </c>
      <c r="S7" s="15">
        <f>P7*Q7</f>
        <v>30</v>
      </c>
      <c r="T7" s="4">
        <f t="shared" ref="T7:T48" si="6">M7+R7</f>
        <v>1.5</v>
      </c>
      <c r="U7" s="3">
        <f t="shared" si="5"/>
        <v>45</v>
      </c>
      <c r="V7" s="19"/>
    </row>
    <row r="8" spans="1:22" x14ac:dyDescent="0.3">
      <c r="A8" s="96"/>
      <c r="B8" s="62" t="s">
        <v>104</v>
      </c>
      <c r="C8" s="13" t="s">
        <v>17</v>
      </c>
      <c r="D8" s="64">
        <v>28</v>
      </c>
      <c r="E8" s="64">
        <v>8</v>
      </c>
      <c r="F8" s="64" t="s">
        <v>165</v>
      </c>
      <c r="G8" s="64">
        <v>4</v>
      </c>
      <c r="H8" s="15">
        <v>120</v>
      </c>
      <c r="I8" s="15">
        <v>45</v>
      </c>
      <c r="J8" s="3">
        <v>0.5</v>
      </c>
      <c r="K8" s="15">
        <f t="shared" si="0"/>
        <v>15</v>
      </c>
      <c r="L8" s="17">
        <v>1</v>
      </c>
      <c r="M8" s="15">
        <f t="shared" si="1"/>
        <v>0.5</v>
      </c>
      <c r="N8" s="15">
        <f t="shared" si="2"/>
        <v>15</v>
      </c>
      <c r="O8" s="3">
        <v>1</v>
      </c>
      <c r="P8" s="15">
        <f t="shared" si="3"/>
        <v>30</v>
      </c>
      <c r="Q8" s="17">
        <v>1</v>
      </c>
      <c r="R8" s="15">
        <f t="shared" ref="R8:R48" si="7">O8*Q8</f>
        <v>1</v>
      </c>
      <c r="S8" s="15">
        <f t="shared" si="4"/>
        <v>30</v>
      </c>
      <c r="T8" s="4">
        <f t="shared" si="6"/>
        <v>1.5</v>
      </c>
      <c r="U8" s="3">
        <f t="shared" si="5"/>
        <v>45</v>
      </c>
      <c r="V8" s="19"/>
    </row>
    <row r="9" spans="1:22" x14ac:dyDescent="0.3">
      <c r="A9" s="96"/>
      <c r="B9" s="63"/>
      <c r="C9" s="13" t="s">
        <v>18</v>
      </c>
      <c r="D9" s="65"/>
      <c r="E9" s="65"/>
      <c r="F9" s="65"/>
      <c r="G9" s="66"/>
      <c r="H9" s="15">
        <v>120</v>
      </c>
      <c r="I9" s="15">
        <v>45</v>
      </c>
      <c r="J9" s="3">
        <v>0.5</v>
      </c>
      <c r="K9" s="15">
        <f t="shared" si="0"/>
        <v>15</v>
      </c>
      <c r="L9" s="17">
        <v>1</v>
      </c>
      <c r="M9" s="15">
        <f t="shared" si="1"/>
        <v>0.5</v>
      </c>
      <c r="N9" s="15">
        <f t="shared" si="2"/>
        <v>15</v>
      </c>
      <c r="O9" s="3">
        <v>1</v>
      </c>
      <c r="P9" s="15">
        <f t="shared" si="3"/>
        <v>30</v>
      </c>
      <c r="Q9" s="17">
        <v>1</v>
      </c>
      <c r="R9" s="15">
        <f t="shared" si="7"/>
        <v>1</v>
      </c>
      <c r="S9" s="15">
        <f t="shared" si="4"/>
        <v>30</v>
      </c>
      <c r="T9" s="4">
        <f t="shared" si="6"/>
        <v>1.5</v>
      </c>
      <c r="U9" s="3">
        <f t="shared" si="5"/>
        <v>45</v>
      </c>
      <c r="V9" s="19"/>
    </row>
    <row r="10" spans="1:22" x14ac:dyDescent="0.3">
      <c r="A10" s="96"/>
      <c r="B10" s="62" t="s">
        <v>41</v>
      </c>
      <c r="C10" s="13" t="s">
        <v>17</v>
      </c>
      <c r="D10" s="65"/>
      <c r="E10" s="65"/>
      <c r="F10" s="65"/>
      <c r="G10" s="64">
        <v>4</v>
      </c>
      <c r="H10" s="15">
        <v>120</v>
      </c>
      <c r="I10" s="15">
        <v>45</v>
      </c>
      <c r="J10" s="3">
        <v>0.5</v>
      </c>
      <c r="K10" s="15">
        <f t="shared" si="0"/>
        <v>15</v>
      </c>
      <c r="L10" s="17">
        <v>1</v>
      </c>
      <c r="M10" s="15">
        <f t="shared" si="1"/>
        <v>0.5</v>
      </c>
      <c r="N10" s="15">
        <f t="shared" si="2"/>
        <v>15</v>
      </c>
      <c r="O10" s="3">
        <v>1</v>
      </c>
      <c r="P10" s="15">
        <f t="shared" si="3"/>
        <v>30</v>
      </c>
      <c r="Q10" s="17">
        <v>1</v>
      </c>
      <c r="R10" s="15">
        <f t="shared" si="7"/>
        <v>1</v>
      </c>
      <c r="S10" s="15">
        <f t="shared" si="4"/>
        <v>30</v>
      </c>
      <c r="T10" s="4">
        <f t="shared" si="6"/>
        <v>1.5</v>
      </c>
      <c r="U10" s="3">
        <f t="shared" si="5"/>
        <v>45</v>
      </c>
      <c r="V10" s="19"/>
    </row>
    <row r="11" spans="1:22" x14ac:dyDescent="0.3">
      <c r="A11" s="96"/>
      <c r="B11" s="63"/>
      <c r="C11" s="13" t="s">
        <v>18</v>
      </c>
      <c r="D11" s="65"/>
      <c r="E11" s="65"/>
      <c r="F11" s="65"/>
      <c r="G11" s="66"/>
      <c r="H11" s="15">
        <v>120</v>
      </c>
      <c r="I11" s="15">
        <v>45</v>
      </c>
      <c r="J11" s="3">
        <v>0.5</v>
      </c>
      <c r="K11" s="15">
        <f t="shared" si="0"/>
        <v>15</v>
      </c>
      <c r="L11" s="17">
        <v>1</v>
      </c>
      <c r="M11" s="15">
        <f t="shared" si="1"/>
        <v>0.5</v>
      </c>
      <c r="N11" s="15">
        <f t="shared" si="2"/>
        <v>15</v>
      </c>
      <c r="O11" s="3">
        <v>1</v>
      </c>
      <c r="P11" s="15">
        <f t="shared" si="3"/>
        <v>30</v>
      </c>
      <c r="Q11" s="17">
        <v>1</v>
      </c>
      <c r="R11" s="15">
        <f t="shared" si="7"/>
        <v>1</v>
      </c>
      <c r="S11" s="15">
        <f t="shared" si="4"/>
        <v>30</v>
      </c>
      <c r="T11" s="4">
        <f t="shared" si="6"/>
        <v>1.5</v>
      </c>
      <c r="U11" s="3">
        <f t="shared" si="5"/>
        <v>45</v>
      </c>
      <c r="V11" s="19"/>
    </row>
    <row r="12" spans="1:22" x14ac:dyDescent="0.3">
      <c r="A12" s="96"/>
      <c r="B12" s="62" t="s">
        <v>42</v>
      </c>
      <c r="C12" s="13" t="s">
        <v>17</v>
      </c>
      <c r="D12" s="65"/>
      <c r="E12" s="65"/>
      <c r="F12" s="65"/>
      <c r="G12" s="64">
        <v>3</v>
      </c>
      <c r="H12" s="15">
        <v>90</v>
      </c>
      <c r="I12" s="15">
        <v>30</v>
      </c>
      <c r="J12" s="3">
        <v>0.5</v>
      </c>
      <c r="K12" s="15">
        <f t="shared" si="0"/>
        <v>15</v>
      </c>
      <c r="L12" s="17">
        <v>1</v>
      </c>
      <c r="M12" s="15">
        <f t="shared" si="1"/>
        <v>0.5</v>
      </c>
      <c r="N12" s="15">
        <f t="shared" si="2"/>
        <v>15</v>
      </c>
      <c r="O12" s="3">
        <v>0.5</v>
      </c>
      <c r="P12" s="15">
        <f t="shared" si="3"/>
        <v>15</v>
      </c>
      <c r="Q12" s="17">
        <v>1</v>
      </c>
      <c r="R12" s="15">
        <f t="shared" si="7"/>
        <v>0.5</v>
      </c>
      <c r="S12" s="15">
        <f t="shared" si="4"/>
        <v>15</v>
      </c>
      <c r="T12" s="4">
        <f t="shared" si="6"/>
        <v>1</v>
      </c>
      <c r="U12" s="3">
        <f t="shared" si="5"/>
        <v>30</v>
      </c>
      <c r="V12" s="19"/>
    </row>
    <row r="13" spans="1:22" x14ac:dyDescent="0.3">
      <c r="A13" s="96"/>
      <c r="B13" s="63"/>
      <c r="C13" s="13" t="s">
        <v>18</v>
      </c>
      <c r="D13" s="65"/>
      <c r="E13" s="65"/>
      <c r="F13" s="65"/>
      <c r="G13" s="66"/>
      <c r="H13" s="15">
        <v>90</v>
      </c>
      <c r="I13" s="15">
        <v>30</v>
      </c>
      <c r="J13" s="3">
        <v>0.5</v>
      </c>
      <c r="K13" s="15">
        <f t="shared" si="0"/>
        <v>15</v>
      </c>
      <c r="L13" s="17">
        <v>1</v>
      </c>
      <c r="M13" s="15">
        <f t="shared" si="1"/>
        <v>0.5</v>
      </c>
      <c r="N13" s="15">
        <f t="shared" si="2"/>
        <v>15</v>
      </c>
      <c r="O13" s="3">
        <v>0.5</v>
      </c>
      <c r="P13" s="15">
        <f t="shared" si="3"/>
        <v>15</v>
      </c>
      <c r="Q13" s="17">
        <v>1</v>
      </c>
      <c r="R13" s="15">
        <f t="shared" si="7"/>
        <v>0.5</v>
      </c>
      <c r="S13" s="15">
        <f t="shared" si="4"/>
        <v>15</v>
      </c>
      <c r="T13" s="4">
        <f t="shared" si="6"/>
        <v>1</v>
      </c>
      <c r="U13" s="3">
        <f t="shared" si="5"/>
        <v>30</v>
      </c>
      <c r="V13" s="19"/>
    </row>
    <row r="14" spans="1:22" x14ac:dyDescent="0.35">
      <c r="A14" s="96"/>
      <c r="B14" s="68" t="s">
        <v>43</v>
      </c>
      <c r="C14" s="13" t="s">
        <v>17</v>
      </c>
      <c r="D14" s="65"/>
      <c r="E14" s="65"/>
      <c r="F14" s="65"/>
      <c r="G14" s="87">
        <v>4</v>
      </c>
      <c r="H14" s="15">
        <v>120</v>
      </c>
      <c r="I14" s="15">
        <v>45</v>
      </c>
      <c r="J14" s="3">
        <v>0.5</v>
      </c>
      <c r="K14" s="15">
        <f t="shared" si="0"/>
        <v>15</v>
      </c>
      <c r="L14" s="9">
        <v>1</v>
      </c>
      <c r="M14" s="15">
        <f t="shared" si="1"/>
        <v>0.5</v>
      </c>
      <c r="N14" s="15">
        <f t="shared" si="2"/>
        <v>15</v>
      </c>
      <c r="O14" s="3">
        <v>1</v>
      </c>
      <c r="P14" s="15">
        <f t="shared" si="3"/>
        <v>30</v>
      </c>
      <c r="Q14" s="39">
        <v>2</v>
      </c>
      <c r="R14" s="15">
        <f t="shared" si="7"/>
        <v>2</v>
      </c>
      <c r="S14" s="15">
        <f t="shared" si="4"/>
        <v>60</v>
      </c>
      <c r="T14" s="4">
        <f t="shared" si="6"/>
        <v>2.5</v>
      </c>
      <c r="U14" s="3">
        <f t="shared" si="5"/>
        <v>75</v>
      </c>
      <c r="V14" s="10" t="s">
        <v>620</v>
      </c>
    </row>
    <row r="15" spans="1:22" x14ac:dyDescent="0.35">
      <c r="A15" s="96"/>
      <c r="B15" s="69"/>
      <c r="C15" s="13" t="s">
        <v>18</v>
      </c>
      <c r="D15" s="66"/>
      <c r="E15" s="66"/>
      <c r="F15" s="66"/>
      <c r="G15" s="88"/>
      <c r="H15" s="15">
        <v>120</v>
      </c>
      <c r="I15" s="15">
        <v>45</v>
      </c>
      <c r="J15" s="3">
        <v>0.5</v>
      </c>
      <c r="K15" s="15">
        <f t="shared" si="0"/>
        <v>15</v>
      </c>
      <c r="L15" s="9">
        <v>1</v>
      </c>
      <c r="M15" s="15">
        <f t="shared" si="1"/>
        <v>0.5</v>
      </c>
      <c r="N15" s="15">
        <f t="shared" si="2"/>
        <v>15</v>
      </c>
      <c r="O15" s="3">
        <v>1</v>
      </c>
      <c r="P15" s="15">
        <f t="shared" si="3"/>
        <v>30</v>
      </c>
      <c r="Q15" s="9">
        <v>1</v>
      </c>
      <c r="R15" s="15">
        <f t="shared" si="7"/>
        <v>1</v>
      </c>
      <c r="S15" s="15">
        <f t="shared" si="4"/>
        <v>30</v>
      </c>
      <c r="T15" s="4">
        <f t="shared" si="6"/>
        <v>1.5</v>
      </c>
      <c r="U15" s="3">
        <f t="shared" si="5"/>
        <v>45</v>
      </c>
      <c r="V15" s="10" t="s">
        <v>614</v>
      </c>
    </row>
    <row r="16" spans="1:22" x14ac:dyDescent="0.35">
      <c r="A16" s="96"/>
      <c r="B16" s="62" t="s">
        <v>155</v>
      </c>
      <c r="C16" s="13" t="s">
        <v>17</v>
      </c>
      <c r="D16" s="64">
        <v>40</v>
      </c>
      <c r="E16" s="64">
        <v>8</v>
      </c>
      <c r="F16" s="64" t="s">
        <v>193</v>
      </c>
      <c r="G16" s="87">
        <v>4</v>
      </c>
      <c r="H16" s="15">
        <v>120</v>
      </c>
      <c r="I16" s="15">
        <v>45</v>
      </c>
      <c r="J16" s="3">
        <v>0.5</v>
      </c>
      <c r="K16" s="15">
        <f t="shared" si="0"/>
        <v>15</v>
      </c>
      <c r="L16" s="9">
        <v>1</v>
      </c>
      <c r="M16" s="15">
        <f t="shared" si="1"/>
        <v>0.5</v>
      </c>
      <c r="N16" s="15">
        <f t="shared" si="2"/>
        <v>15</v>
      </c>
      <c r="O16" s="3">
        <v>1</v>
      </c>
      <c r="P16" s="15">
        <f t="shared" si="3"/>
        <v>30</v>
      </c>
      <c r="Q16" s="9">
        <v>2</v>
      </c>
      <c r="R16" s="15">
        <f t="shared" si="7"/>
        <v>2</v>
      </c>
      <c r="S16" s="15">
        <f t="shared" si="4"/>
        <v>60</v>
      </c>
      <c r="T16" s="4">
        <f t="shared" si="6"/>
        <v>2.5</v>
      </c>
      <c r="U16" s="3">
        <f t="shared" si="5"/>
        <v>75</v>
      </c>
      <c r="V16" s="10"/>
    </row>
    <row r="17" spans="1:23" x14ac:dyDescent="0.35">
      <c r="A17" s="96"/>
      <c r="B17" s="63"/>
      <c r="C17" s="13" t="s">
        <v>18</v>
      </c>
      <c r="D17" s="66"/>
      <c r="E17" s="66"/>
      <c r="F17" s="66"/>
      <c r="G17" s="88"/>
      <c r="H17" s="15">
        <v>120</v>
      </c>
      <c r="I17" s="15">
        <v>45</v>
      </c>
      <c r="J17" s="3">
        <v>0.5</v>
      </c>
      <c r="K17" s="15">
        <f t="shared" si="0"/>
        <v>15</v>
      </c>
      <c r="L17" s="9">
        <v>1</v>
      </c>
      <c r="M17" s="15">
        <f t="shared" si="1"/>
        <v>0.5</v>
      </c>
      <c r="N17" s="15">
        <f t="shared" si="2"/>
        <v>15</v>
      </c>
      <c r="O17" s="3">
        <v>1</v>
      </c>
      <c r="P17" s="15">
        <f t="shared" si="3"/>
        <v>30</v>
      </c>
      <c r="Q17" s="9">
        <v>1</v>
      </c>
      <c r="R17" s="15">
        <f t="shared" si="7"/>
        <v>1</v>
      </c>
      <c r="S17" s="15">
        <f t="shared" si="4"/>
        <v>30</v>
      </c>
      <c r="T17" s="4">
        <f t="shared" si="6"/>
        <v>1.5</v>
      </c>
      <c r="U17" s="3">
        <f t="shared" si="5"/>
        <v>45</v>
      </c>
      <c r="V17" s="20"/>
    </row>
    <row r="18" spans="1:23" ht="36" x14ac:dyDescent="0.3">
      <c r="A18" s="7"/>
      <c r="B18" s="37" t="s">
        <v>153</v>
      </c>
      <c r="C18" s="64" t="s">
        <v>17</v>
      </c>
      <c r="D18" s="64">
        <v>1</v>
      </c>
      <c r="E18" s="64"/>
      <c r="F18" s="64" t="s">
        <v>156</v>
      </c>
      <c r="G18" s="12">
        <v>4</v>
      </c>
      <c r="H18" s="15">
        <v>120</v>
      </c>
      <c r="I18" s="15">
        <v>45</v>
      </c>
      <c r="J18" s="3">
        <v>0.5</v>
      </c>
      <c r="K18" s="15">
        <f t="shared" si="0"/>
        <v>15</v>
      </c>
      <c r="L18" s="40">
        <v>0</v>
      </c>
      <c r="M18" s="15">
        <f t="shared" si="1"/>
        <v>0</v>
      </c>
      <c r="N18" s="15">
        <f t="shared" si="2"/>
        <v>0</v>
      </c>
      <c r="O18" s="3">
        <v>1</v>
      </c>
      <c r="P18" s="15">
        <f t="shared" si="3"/>
        <v>30</v>
      </c>
      <c r="Q18" s="40">
        <v>0</v>
      </c>
      <c r="R18" s="15">
        <f t="shared" si="7"/>
        <v>0</v>
      </c>
      <c r="S18" s="15">
        <f t="shared" si="4"/>
        <v>0</v>
      </c>
      <c r="T18" s="30">
        <f t="shared" si="6"/>
        <v>0</v>
      </c>
      <c r="U18" s="28">
        <f t="shared" si="5"/>
        <v>0</v>
      </c>
      <c r="V18" s="29" t="s">
        <v>577</v>
      </c>
    </row>
    <row r="19" spans="1:23" ht="36" x14ac:dyDescent="0.3">
      <c r="A19" s="7"/>
      <c r="B19" s="37" t="s">
        <v>154</v>
      </c>
      <c r="C19" s="66"/>
      <c r="D19" s="65"/>
      <c r="E19" s="65"/>
      <c r="F19" s="65"/>
      <c r="G19" s="12">
        <v>4</v>
      </c>
      <c r="H19" s="15">
        <v>120</v>
      </c>
      <c r="I19" s="15">
        <v>45</v>
      </c>
      <c r="J19" s="3">
        <v>0.5</v>
      </c>
      <c r="K19" s="15">
        <f t="shared" si="0"/>
        <v>15</v>
      </c>
      <c r="L19" s="40">
        <v>0</v>
      </c>
      <c r="M19" s="15">
        <f t="shared" si="1"/>
        <v>0</v>
      </c>
      <c r="N19" s="15">
        <f t="shared" si="2"/>
        <v>0</v>
      </c>
      <c r="O19" s="3">
        <v>1</v>
      </c>
      <c r="P19" s="15">
        <f t="shared" si="3"/>
        <v>30</v>
      </c>
      <c r="Q19" s="40">
        <v>0</v>
      </c>
      <c r="R19" s="15">
        <f t="shared" si="7"/>
        <v>0</v>
      </c>
      <c r="S19" s="15">
        <f t="shared" si="4"/>
        <v>0</v>
      </c>
      <c r="T19" s="30">
        <f t="shared" si="6"/>
        <v>0</v>
      </c>
      <c r="U19" s="28">
        <f t="shared" si="5"/>
        <v>0</v>
      </c>
      <c r="V19" s="29" t="s">
        <v>577</v>
      </c>
    </row>
    <row r="20" spans="1:23" x14ac:dyDescent="0.3">
      <c r="A20" s="7"/>
      <c r="B20" s="62" t="s">
        <v>164</v>
      </c>
      <c r="C20" s="13" t="s">
        <v>17</v>
      </c>
      <c r="D20" s="64">
        <v>27</v>
      </c>
      <c r="E20" s="64">
        <v>8</v>
      </c>
      <c r="F20" s="64" t="s">
        <v>167</v>
      </c>
      <c r="G20" s="64">
        <v>4</v>
      </c>
      <c r="H20" s="15">
        <v>120</v>
      </c>
      <c r="I20" s="15">
        <v>45</v>
      </c>
      <c r="J20" s="3">
        <v>0.5</v>
      </c>
      <c r="K20" s="15">
        <f t="shared" si="0"/>
        <v>15</v>
      </c>
      <c r="L20" s="17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17">
        <v>1</v>
      </c>
      <c r="R20" s="15">
        <f t="shared" si="7"/>
        <v>1</v>
      </c>
      <c r="S20" s="15">
        <f t="shared" si="4"/>
        <v>30</v>
      </c>
      <c r="T20" s="4">
        <f t="shared" si="6"/>
        <v>1.5</v>
      </c>
      <c r="U20" s="3">
        <f t="shared" si="5"/>
        <v>45</v>
      </c>
      <c r="V20" s="19"/>
    </row>
    <row r="21" spans="1:23" x14ac:dyDescent="0.3">
      <c r="A21" s="7"/>
      <c r="B21" s="63"/>
      <c r="C21" s="13" t="s">
        <v>18</v>
      </c>
      <c r="D21" s="65"/>
      <c r="E21" s="65"/>
      <c r="F21" s="65"/>
      <c r="G21" s="66"/>
      <c r="H21" s="15">
        <v>120</v>
      </c>
      <c r="I21" s="15">
        <v>45</v>
      </c>
      <c r="J21" s="3">
        <v>0.5</v>
      </c>
      <c r="K21" s="15">
        <f t="shared" si="0"/>
        <v>15</v>
      </c>
      <c r="L21" s="17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17">
        <v>1</v>
      </c>
      <c r="R21" s="15">
        <f t="shared" si="7"/>
        <v>1</v>
      </c>
      <c r="S21" s="15">
        <f t="shared" si="4"/>
        <v>30</v>
      </c>
      <c r="T21" s="4">
        <f t="shared" si="6"/>
        <v>1.5</v>
      </c>
      <c r="U21" s="3">
        <f t="shared" si="5"/>
        <v>45</v>
      </c>
      <c r="V21" s="19"/>
    </row>
    <row r="22" spans="1:23" x14ac:dyDescent="0.3">
      <c r="A22" s="7"/>
      <c r="B22" s="62" t="s">
        <v>166</v>
      </c>
      <c r="C22" s="13" t="s">
        <v>17</v>
      </c>
      <c r="D22" s="65"/>
      <c r="E22" s="65"/>
      <c r="F22" s="65"/>
      <c r="G22" s="64">
        <v>4</v>
      </c>
      <c r="H22" s="15">
        <v>120</v>
      </c>
      <c r="I22" s="15">
        <v>45</v>
      </c>
      <c r="J22" s="3">
        <v>0.5</v>
      </c>
      <c r="K22" s="15">
        <f t="shared" si="0"/>
        <v>15</v>
      </c>
      <c r="L22" s="17">
        <v>1</v>
      </c>
      <c r="M22" s="15">
        <f t="shared" si="1"/>
        <v>0.5</v>
      </c>
      <c r="N22" s="15">
        <f t="shared" si="2"/>
        <v>15</v>
      </c>
      <c r="O22" s="3">
        <v>1</v>
      </c>
      <c r="P22" s="15">
        <f t="shared" si="3"/>
        <v>30</v>
      </c>
      <c r="Q22" s="17">
        <v>1</v>
      </c>
      <c r="R22" s="15">
        <f t="shared" si="7"/>
        <v>1</v>
      </c>
      <c r="S22" s="15">
        <f t="shared" si="4"/>
        <v>30</v>
      </c>
      <c r="T22" s="4">
        <f t="shared" si="6"/>
        <v>1.5</v>
      </c>
      <c r="U22" s="3">
        <f t="shared" si="5"/>
        <v>45</v>
      </c>
      <c r="V22" s="19"/>
    </row>
    <row r="23" spans="1:23" x14ac:dyDescent="0.3">
      <c r="A23" s="7"/>
      <c r="B23" s="63"/>
      <c r="C23" s="13" t="s">
        <v>18</v>
      </c>
      <c r="D23" s="66"/>
      <c r="E23" s="66"/>
      <c r="F23" s="66"/>
      <c r="G23" s="66"/>
      <c r="H23" s="15">
        <v>120</v>
      </c>
      <c r="I23" s="15">
        <v>45</v>
      </c>
      <c r="J23" s="3">
        <v>0.5</v>
      </c>
      <c r="K23" s="15">
        <f t="shared" si="0"/>
        <v>15</v>
      </c>
      <c r="L23" s="17">
        <v>1</v>
      </c>
      <c r="M23" s="15">
        <f t="shared" si="1"/>
        <v>0.5</v>
      </c>
      <c r="N23" s="15">
        <f t="shared" si="2"/>
        <v>15</v>
      </c>
      <c r="O23" s="3">
        <v>1</v>
      </c>
      <c r="P23" s="15">
        <f t="shared" si="3"/>
        <v>30</v>
      </c>
      <c r="Q23" s="17">
        <v>1</v>
      </c>
      <c r="R23" s="15">
        <f t="shared" si="7"/>
        <v>1</v>
      </c>
      <c r="S23" s="15">
        <f t="shared" si="4"/>
        <v>30</v>
      </c>
      <c r="T23" s="4">
        <f t="shared" si="6"/>
        <v>1.5</v>
      </c>
      <c r="U23" s="3">
        <f t="shared" si="5"/>
        <v>45</v>
      </c>
      <c r="V23" s="19"/>
    </row>
    <row r="24" spans="1:23" ht="36" x14ac:dyDescent="0.3">
      <c r="A24" s="7"/>
      <c r="B24" s="14" t="s">
        <v>172</v>
      </c>
      <c r="C24" s="64" t="s">
        <v>17</v>
      </c>
      <c r="D24" s="64">
        <v>14</v>
      </c>
      <c r="E24" s="64"/>
      <c r="F24" s="64" t="s">
        <v>23</v>
      </c>
      <c r="G24" s="12">
        <v>6</v>
      </c>
      <c r="H24" s="15">
        <v>180</v>
      </c>
      <c r="I24" s="15">
        <v>60</v>
      </c>
      <c r="J24" s="3">
        <v>1</v>
      </c>
      <c r="K24" s="15">
        <f t="shared" si="0"/>
        <v>30</v>
      </c>
      <c r="L24" s="17">
        <v>1</v>
      </c>
      <c r="M24" s="15">
        <f t="shared" si="1"/>
        <v>1</v>
      </c>
      <c r="N24" s="15">
        <f t="shared" si="2"/>
        <v>30</v>
      </c>
      <c r="O24" s="3">
        <v>1</v>
      </c>
      <c r="P24" s="15">
        <f t="shared" si="3"/>
        <v>30</v>
      </c>
      <c r="Q24" s="17">
        <v>1</v>
      </c>
      <c r="R24" s="15">
        <f t="shared" si="7"/>
        <v>1</v>
      </c>
      <c r="S24" s="15">
        <f t="shared" si="4"/>
        <v>30</v>
      </c>
      <c r="T24" s="4">
        <f t="shared" si="6"/>
        <v>2</v>
      </c>
      <c r="U24" s="3">
        <f t="shared" si="5"/>
        <v>60</v>
      </c>
      <c r="V24" s="19" t="s">
        <v>596</v>
      </c>
    </row>
    <row r="25" spans="1:23" x14ac:dyDescent="0.3">
      <c r="A25" s="7"/>
      <c r="B25" s="14" t="s">
        <v>173</v>
      </c>
      <c r="C25" s="65"/>
      <c r="D25" s="65"/>
      <c r="E25" s="65"/>
      <c r="F25" s="65"/>
      <c r="G25" s="16">
        <v>5</v>
      </c>
      <c r="H25" s="15">
        <v>150</v>
      </c>
      <c r="I25" s="15">
        <v>45</v>
      </c>
      <c r="J25" s="3">
        <v>0.5</v>
      </c>
      <c r="K25" s="15">
        <f t="shared" si="0"/>
        <v>15</v>
      </c>
      <c r="L25" s="17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17">
        <v>1</v>
      </c>
      <c r="R25" s="15">
        <f t="shared" si="7"/>
        <v>1</v>
      </c>
      <c r="S25" s="15">
        <f t="shared" si="4"/>
        <v>30</v>
      </c>
      <c r="T25" s="4">
        <f t="shared" si="6"/>
        <v>1.5</v>
      </c>
      <c r="U25" s="3">
        <f t="shared" si="5"/>
        <v>45</v>
      </c>
      <c r="V25" s="19" t="s">
        <v>592</v>
      </c>
      <c r="W25" s="55"/>
    </row>
    <row r="26" spans="1:23" x14ac:dyDescent="0.3">
      <c r="B26" s="14" t="s">
        <v>174</v>
      </c>
      <c r="C26" s="65"/>
      <c r="D26" s="65"/>
      <c r="E26" s="65"/>
      <c r="F26" s="65"/>
      <c r="G26" s="16">
        <v>6</v>
      </c>
      <c r="H26" s="15">
        <v>180</v>
      </c>
      <c r="I26" s="15">
        <v>60</v>
      </c>
      <c r="J26" s="3">
        <v>1</v>
      </c>
      <c r="K26" s="15">
        <f t="shared" si="0"/>
        <v>30</v>
      </c>
      <c r="L26" s="17">
        <v>1</v>
      </c>
      <c r="M26" s="15">
        <f t="shared" si="1"/>
        <v>1</v>
      </c>
      <c r="N26" s="15">
        <f t="shared" si="2"/>
        <v>30</v>
      </c>
      <c r="O26" s="3">
        <v>1</v>
      </c>
      <c r="P26" s="15">
        <f t="shared" si="3"/>
        <v>30</v>
      </c>
      <c r="Q26" s="17">
        <v>1</v>
      </c>
      <c r="R26" s="15">
        <f t="shared" si="7"/>
        <v>1</v>
      </c>
      <c r="S26" s="15">
        <f t="shared" si="4"/>
        <v>30</v>
      </c>
      <c r="T26" s="4">
        <f t="shared" si="6"/>
        <v>2</v>
      </c>
      <c r="U26" s="3">
        <f t="shared" si="5"/>
        <v>60</v>
      </c>
      <c r="V26" s="19" t="s">
        <v>594</v>
      </c>
    </row>
    <row r="27" spans="1:23" ht="54" x14ac:dyDescent="0.3">
      <c r="B27" s="14" t="s">
        <v>606</v>
      </c>
      <c r="C27" s="65"/>
      <c r="D27" s="65"/>
      <c r="E27" s="65"/>
      <c r="F27" s="65"/>
      <c r="G27" s="12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17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17">
        <v>1</v>
      </c>
      <c r="R27" s="15">
        <f t="shared" si="7"/>
        <v>1</v>
      </c>
      <c r="S27" s="15">
        <f t="shared" si="4"/>
        <v>30</v>
      </c>
      <c r="T27" s="4">
        <f t="shared" si="6"/>
        <v>1.5</v>
      </c>
      <c r="U27" s="3">
        <f t="shared" si="5"/>
        <v>45</v>
      </c>
      <c r="V27" s="19" t="s">
        <v>614</v>
      </c>
    </row>
    <row r="28" spans="1:23" ht="36" x14ac:dyDescent="0.3">
      <c r="B28" s="14" t="s">
        <v>155</v>
      </c>
      <c r="C28" s="66"/>
      <c r="D28" s="65"/>
      <c r="E28" s="65"/>
      <c r="F28" s="65"/>
      <c r="G28" s="12">
        <v>4</v>
      </c>
      <c r="H28" s="15">
        <v>120</v>
      </c>
      <c r="I28" s="15">
        <v>45</v>
      </c>
      <c r="J28" s="3">
        <v>0.5</v>
      </c>
      <c r="K28" s="15">
        <f t="shared" si="0"/>
        <v>15</v>
      </c>
      <c r="L28" s="17">
        <v>1</v>
      </c>
      <c r="M28" s="15">
        <f t="shared" si="1"/>
        <v>0.5</v>
      </c>
      <c r="N28" s="15">
        <f t="shared" si="2"/>
        <v>15</v>
      </c>
      <c r="O28" s="3">
        <v>1</v>
      </c>
      <c r="P28" s="15">
        <f t="shared" si="3"/>
        <v>30</v>
      </c>
      <c r="Q28" s="17">
        <v>1</v>
      </c>
      <c r="R28" s="15">
        <f t="shared" si="7"/>
        <v>1</v>
      </c>
      <c r="S28" s="15">
        <f t="shared" si="4"/>
        <v>30</v>
      </c>
      <c r="T28" s="4">
        <f t="shared" si="6"/>
        <v>1.5</v>
      </c>
      <c r="U28" s="3">
        <f t="shared" si="5"/>
        <v>45</v>
      </c>
      <c r="V28" s="19"/>
    </row>
    <row r="29" spans="1:23" ht="36" x14ac:dyDescent="0.3">
      <c r="B29" s="14" t="s">
        <v>178</v>
      </c>
      <c r="C29" s="64" t="s">
        <v>17</v>
      </c>
      <c r="D29" s="64">
        <v>5</v>
      </c>
      <c r="E29" s="64"/>
      <c r="F29" s="64" t="s">
        <v>182</v>
      </c>
      <c r="G29" s="12">
        <v>6</v>
      </c>
      <c r="H29" s="15">
        <v>180</v>
      </c>
      <c r="I29" s="15">
        <v>60</v>
      </c>
      <c r="J29" s="3">
        <v>1</v>
      </c>
      <c r="K29" s="15">
        <f t="shared" si="0"/>
        <v>30</v>
      </c>
      <c r="L29" s="17">
        <v>1</v>
      </c>
      <c r="M29" s="15">
        <f t="shared" si="1"/>
        <v>1</v>
      </c>
      <c r="N29" s="15">
        <f t="shared" si="2"/>
        <v>30</v>
      </c>
      <c r="O29" s="3">
        <v>1</v>
      </c>
      <c r="P29" s="15">
        <f t="shared" si="3"/>
        <v>30</v>
      </c>
      <c r="Q29" s="17">
        <v>1</v>
      </c>
      <c r="R29" s="15">
        <f t="shared" si="7"/>
        <v>1</v>
      </c>
      <c r="S29" s="15">
        <f t="shared" si="4"/>
        <v>30</v>
      </c>
      <c r="T29" s="4">
        <f t="shared" si="6"/>
        <v>2</v>
      </c>
      <c r="U29" s="3">
        <f t="shared" si="5"/>
        <v>60</v>
      </c>
      <c r="V29" s="19"/>
    </row>
    <row r="30" spans="1:23" x14ac:dyDescent="0.35">
      <c r="A30" s="8"/>
      <c r="B30" s="14" t="s">
        <v>79</v>
      </c>
      <c r="C30" s="65"/>
      <c r="D30" s="65"/>
      <c r="E30" s="65"/>
      <c r="F30" s="65"/>
      <c r="G30" s="16">
        <v>4</v>
      </c>
      <c r="H30" s="15">
        <v>120</v>
      </c>
      <c r="I30" s="15">
        <v>45</v>
      </c>
      <c r="J30" s="3">
        <v>0.5</v>
      </c>
      <c r="K30" s="15">
        <f t="shared" si="0"/>
        <v>15</v>
      </c>
      <c r="L30" s="17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17">
        <v>1</v>
      </c>
      <c r="R30" s="15">
        <f t="shared" si="7"/>
        <v>1</v>
      </c>
      <c r="S30" s="15">
        <f t="shared" si="4"/>
        <v>30</v>
      </c>
      <c r="T30" s="4">
        <f t="shared" si="6"/>
        <v>1.5</v>
      </c>
      <c r="U30" s="3">
        <f t="shared" si="5"/>
        <v>45</v>
      </c>
      <c r="V30" s="10"/>
    </row>
    <row r="31" spans="1:23" ht="36" x14ac:dyDescent="0.35">
      <c r="A31" s="8"/>
      <c r="B31" s="14" t="s">
        <v>179</v>
      </c>
      <c r="C31" s="65"/>
      <c r="D31" s="65"/>
      <c r="E31" s="65"/>
      <c r="F31" s="65"/>
      <c r="G31" s="16">
        <v>4</v>
      </c>
      <c r="H31" s="15">
        <v>120</v>
      </c>
      <c r="I31" s="15">
        <v>45</v>
      </c>
      <c r="J31" s="3">
        <v>0.5</v>
      </c>
      <c r="K31" s="15">
        <f t="shared" si="0"/>
        <v>15</v>
      </c>
      <c r="L31" s="17">
        <v>1</v>
      </c>
      <c r="M31" s="15">
        <f t="shared" si="1"/>
        <v>0.5</v>
      </c>
      <c r="N31" s="15">
        <f t="shared" si="2"/>
        <v>15</v>
      </c>
      <c r="O31" s="3">
        <v>1</v>
      </c>
      <c r="P31" s="15">
        <f t="shared" si="3"/>
        <v>30</v>
      </c>
      <c r="Q31" s="17">
        <v>1</v>
      </c>
      <c r="R31" s="15">
        <f t="shared" si="7"/>
        <v>1</v>
      </c>
      <c r="S31" s="15">
        <f t="shared" si="4"/>
        <v>30</v>
      </c>
      <c r="T31" s="4">
        <f t="shared" si="6"/>
        <v>1.5</v>
      </c>
      <c r="U31" s="3">
        <f t="shared" si="5"/>
        <v>45</v>
      </c>
      <c r="V31" s="10"/>
    </row>
    <row r="32" spans="1:23" ht="36" x14ac:dyDescent="0.3">
      <c r="A32" s="7"/>
      <c r="B32" s="14" t="s">
        <v>180</v>
      </c>
      <c r="C32" s="65"/>
      <c r="D32" s="65"/>
      <c r="E32" s="65"/>
      <c r="F32" s="65"/>
      <c r="G32" s="12">
        <v>8</v>
      </c>
      <c r="H32" s="15">
        <v>240</v>
      </c>
      <c r="I32" s="15">
        <v>75</v>
      </c>
      <c r="J32" s="3">
        <v>1</v>
      </c>
      <c r="K32" s="15">
        <f t="shared" si="0"/>
        <v>30</v>
      </c>
      <c r="L32" s="17">
        <v>1</v>
      </c>
      <c r="M32" s="15">
        <f t="shared" si="1"/>
        <v>1</v>
      </c>
      <c r="N32" s="15">
        <f t="shared" si="2"/>
        <v>30</v>
      </c>
      <c r="O32" s="3">
        <v>1.5</v>
      </c>
      <c r="P32" s="15">
        <f t="shared" si="3"/>
        <v>45</v>
      </c>
      <c r="Q32" s="17">
        <v>1</v>
      </c>
      <c r="R32" s="15">
        <f t="shared" si="7"/>
        <v>1.5</v>
      </c>
      <c r="S32" s="15">
        <f t="shared" si="4"/>
        <v>45</v>
      </c>
      <c r="T32" s="4">
        <f t="shared" si="6"/>
        <v>2.5</v>
      </c>
      <c r="U32" s="3">
        <f t="shared" si="5"/>
        <v>75</v>
      </c>
      <c r="V32" s="19"/>
    </row>
    <row r="33" spans="1:22" ht="36" x14ac:dyDescent="0.3">
      <c r="A33" s="7"/>
      <c r="B33" s="14" t="s">
        <v>181</v>
      </c>
      <c r="C33" s="66"/>
      <c r="D33" s="65"/>
      <c r="E33" s="65"/>
      <c r="F33" s="65"/>
      <c r="G33" s="12">
        <v>5</v>
      </c>
      <c r="H33" s="15">
        <v>150</v>
      </c>
      <c r="I33" s="15">
        <v>45</v>
      </c>
      <c r="J33" s="3">
        <v>0.5</v>
      </c>
      <c r="K33" s="15">
        <f t="shared" si="0"/>
        <v>15</v>
      </c>
      <c r="L33" s="17">
        <v>1</v>
      </c>
      <c r="M33" s="15">
        <f t="shared" si="1"/>
        <v>0.5</v>
      </c>
      <c r="N33" s="15">
        <f t="shared" si="2"/>
        <v>15</v>
      </c>
      <c r="O33" s="3">
        <v>1</v>
      </c>
      <c r="P33" s="15">
        <f t="shared" si="3"/>
        <v>30</v>
      </c>
      <c r="Q33" s="17">
        <v>1</v>
      </c>
      <c r="R33" s="15">
        <f t="shared" si="7"/>
        <v>1</v>
      </c>
      <c r="S33" s="15">
        <f t="shared" si="4"/>
        <v>30</v>
      </c>
      <c r="T33" s="4">
        <f t="shared" si="6"/>
        <v>1.5</v>
      </c>
      <c r="U33" s="3">
        <f t="shared" si="5"/>
        <v>45</v>
      </c>
      <c r="V33" s="19"/>
    </row>
    <row r="34" spans="1:22" ht="36" x14ac:dyDescent="0.3">
      <c r="A34" s="7"/>
      <c r="B34" s="14" t="s">
        <v>69</v>
      </c>
      <c r="C34" s="64" t="s">
        <v>17</v>
      </c>
      <c r="D34" s="64">
        <v>12</v>
      </c>
      <c r="E34" s="64"/>
      <c r="F34" s="64" t="s">
        <v>28</v>
      </c>
      <c r="G34" s="12">
        <v>4</v>
      </c>
      <c r="H34" s="15">
        <v>120</v>
      </c>
      <c r="I34" s="15">
        <v>45</v>
      </c>
      <c r="J34" s="3">
        <v>0.5</v>
      </c>
      <c r="K34" s="15">
        <f t="shared" si="0"/>
        <v>15</v>
      </c>
      <c r="L34" s="17">
        <v>1</v>
      </c>
      <c r="M34" s="15">
        <f t="shared" si="1"/>
        <v>0.5</v>
      </c>
      <c r="N34" s="15">
        <f t="shared" si="2"/>
        <v>15</v>
      </c>
      <c r="O34" s="3">
        <v>1</v>
      </c>
      <c r="P34" s="15">
        <f t="shared" si="3"/>
        <v>30</v>
      </c>
      <c r="Q34" s="17">
        <v>1</v>
      </c>
      <c r="R34" s="15">
        <f t="shared" si="7"/>
        <v>1</v>
      </c>
      <c r="S34" s="15">
        <f t="shared" si="4"/>
        <v>30</v>
      </c>
      <c r="T34" s="4">
        <f t="shared" si="6"/>
        <v>1.5</v>
      </c>
      <c r="U34" s="3">
        <f t="shared" si="5"/>
        <v>45</v>
      </c>
      <c r="V34" s="19"/>
    </row>
    <row r="35" spans="1:22" ht="36" x14ac:dyDescent="0.3">
      <c r="A35" s="7"/>
      <c r="B35" s="14" t="s">
        <v>189</v>
      </c>
      <c r="C35" s="65"/>
      <c r="D35" s="65"/>
      <c r="E35" s="65"/>
      <c r="F35" s="65"/>
      <c r="G35" s="12">
        <v>5</v>
      </c>
      <c r="H35" s="15">
        <v>150</v>
      </c>
      <c r="I35" s="15">
        <v>45</v>
      </c>
      <c r="J35" s="3">
        <v>0.5</v>
      </c>
      <c r="K35" s="15">
        <f t="shared" si="0"/>
        <v>15</v>
      </c>
      <c r="L35" s="17">
        <v>1</v>
      </c>
      <c r="M35" s="15">
        <f t="shared" si="1"/>
        <v>0.5</v>
      </c>
      <c r="N35" s="15">
        <f t="shared" si="2"/>
        <v>15</v>
      </c>
      <c r="O35" s="3">
        <v>1</v>
      </c>
      <c r="P35" s="15">
        <f t="shared" si="3"/>
        <v>30</v>
      </c>
      <c r="Q35" s="17">
        <v>1</v>
      </c>
      <c r="R35" s="15">
        <f t="shared" si="7"/>
        <v>1</v>
      </c>
      <c r="S35" s="15">
        <f t="shared" si="4"/>
        <v>30</v>
      </c>
      <c r="T35" s="4">
        <f t="shared" si="6"/>
        <v>1.5</v>
      </c>
      <c r="U35" s="3">
        <f t="shared" si="5"/>
        <v>45</v>
      </c>
      <c r="V35" s="19"/>
    </row>
    <row r="36" spans="1:22" ht="54" x14ac:dyDescent="0.3">
      <c r="A36" s="7"/>
      <c r="B36" s="14" t="s">
        <v>190</v>
      </c>
      <c r="C36" s="65"/>
      <c r="D36" s="65"/>
      <c r="E36" s="65"/>
      <c r="F36" s="65"/>
      <c r="G36" s="12">
        <v>5</v>
      </c>
      <c r="H36" s="15">
        <v>150</v>
      </c>
      <c r="I36" s="15">
        <v>45</v>
      </c>
      <c r="J36" s="3">
        <v>0.5</v>
      </c>
      <c r="K36" s="15">
        <f t="shared" si="0"/>
        <v>15</v>
      </c>
      <c r="L36" s="17">
        <v>1</v>
      </c>
      <c r="M36" s="15">
        <f t="shared" si="1"/>
        <v>0.5</v>
      </c>
      <c r="N36" s="15">
        <f t="shared" si="2"/>
        <v>15</v>
      </c>
      <c r="O36" s="3">
        <v>1</v>
      </c>
      <c r="P36" s="15">
        <f t="shared" si="3"/>
        <v>30</v>
      </c>
      <c r="Q36" s="17">
        <v>1</v>
      </c>
      <c r="R36" s="15">
        <f t="shared" si="7"/>
        <v>1</v>
      </c>
      <c r="S36" s="15">
        <f t="shared" si="4"/>
        <v>30</v>
      </c>
      <c r="T36" s="4">
        <f t="shared" si="6"/>
        <v>1.5</v>
      </c>
      <c r="U36" s="3">
        <f t="shared" si="5"/>
        <v>45</v>
      </c>
      <c r="V36" s="19"/>
    </row>
    <row r="37" spans="1:22" x14ac:dyDescent="0.3">
      <c r="A37" s="7"/>
      <c r="B37" s="14" t="s">
        <v>191</v>
      </c>
      <c r="C37" s="65"/>
      <c r="D37" s="65"/>
      <c r="E37" s="65"/>
      <c r="F37" s="65"/>
      <c r="G37" s="12">
        <v>4</v>
      </c>
      <c r="H37" s="15">
        <v>120</v>
      </c>
      <c r="I37" s="15">
        <v>45</v>
      </c>
      <c r="J37" s="3">
        <v>0.5</v>
      </c>
      <c r="K37" s="15">
        <f t="shared" si="0"/>
        <v>15</v>
      </c>
      <c r="L37" s="17">
        <v>1</v>
      </c>
      <c r="M37" s="15">
        <f t="shared" si="1"/>
        <v>0.5</v>
      </c>
      <c r="N37" s="15">
        <f t="shared" si="2"/>
        <v>15</v>
      </c>
      <c r="O37" s="3">
        <v>1</v>
      </c>
      <c r="P37" s="15">
        <f t="shared" si="3"/>
        <v>30</v>
      </c>
      <c r="Q37" s="17">
        <v>1</v>
      </c>
      <c r="R37" s="15">
        <f t="shared" si="7"/>
        <v>1</v>
      </c>
      <c r="S37" s="15">
        <f t="shared" si="4"/>
        <v>30</v>
      </c>
      <c r="T37" s="4">
        <f t="shared" si="6"/>
        <v>1.5</v>
      </c>
      <c r="U37" s="3">
        <f t="shared" si="5"/>
        <v>45</v>
      </c>
      <c r="V37" s="19"/>
    </row>
    <row r="38" spans="1:22" ht="36" x14ac:dyDescent="0.3">
      <c r="A38" s="7"/>
      <c r="B38" s="14" t="s">
        <v>192</v>
      </c>
      <c r="C38" s="66"/>
      <c r="D38" s="65"/>
      <c r="E38" s="65"/>
      <c r="F38" s="65"/>
      <c r="G38" s="12">
        <v>5</v>
      </c>
      <c r="H38" s="15">
        <v>150</v>
      </c>
      <c r="I38" s="15">
        <v>45</v>
      </c>
      <c r="J38" s="3">
        <v>0.5</v>
      </c>
      <c r="K38" s="15">
        <f t="shared" si="0"/>
        <v>15</v>
      </c>
      <c r="L38" s="17">
        <v>1</v>
      </c>
      <c r="M38" s="15">
        <f t="shared" si="1"/>
        <v>0.5</v>
      </c>
      <c r="N38" s="15">
        <f t="shared" si="2"/>
        <v>15</v>
      </c>
      <c r="O38" s="3">
        <v>1</v>
      </c>
      <c r="P38" s="15">
        <f t="shared" si="3"/>
        <v>30</v>
      </c>
      <c r="Q38" s="17">
        <v>1</v>
      </c>
      <c r="R38" s="15">
        <f t="shared" si="7"/>
        <v>1</v>
      </c>
      <c r="S38" s="15">
        <f t="shared" si="4"/>
        <v>30</v>
      </c>
      <c r="T38" s="4">
        <f t="shared" si="6"/>
        <v>1.5</v>
      </c>
      <c r="U38" s="3">
        <f t="shared" si="5"/>
        <v>45</v>
      </c>
      <c r="V38" s="19"/>
    </row>
    <row r="39" spans="1:22" x14ac:dyDescent="0.3">
      <c r="A39" s="22"/>
      <c r="B39" s="14" t="s">
        <v>138</v>
      </c>
      <c r="C39" s="64" t="s">
        <v>206</v>
      </c>
      <c r="D39" s="64">
        <v>94</v>
      </c>
      <c r="E39" s="64">
        <v>30</v>
      </c>
      <c r="F39" s="64" t="s">
        <v>29</v>
      </c>
      <c r="G39" s="12">
        <v>4</v>
      </c>
      <c r="H39" s="15">
        <v>120</v>
      </c>
      <c r="I39" s="15">
        <v>45</v>
      </c>
      <c r="J39" s="3">
        <v>0</v>
      </c>
      <c r="K39" s="15">
        <f t="shared" si="0"/>
        <v>0</v>
      </c>
      <c r="L39" s="17">
        <v>0</v>
      </c>
      <c r="M39" s="15">
        <f t="shared" si="1"/>
        <v>0</v>
      </c>
      <c r="N39" s="15">
        <f t="shared" si="2"/>
        <v>0</v>
      </c>
      <c r="O39" s="3">
        <v>1.5</v>
      </c>
      <c r="P39" s="15">
        <f t="shared" si="3"/>
        <v>45</v>
      </c>
      <c r="Q39" s="38">
        <v>5</v>
      </c>
      <c r="R39" s="15">
        <f t="shared" si="7"/>
        <v>7.5</v>
      </c>
      <c r="S39" s="15">
        <f t="shared" si="4"/>
        <v>225</v>
      </c>
      <c r="T39" s="4">
        <f t="shared" si="6"/>
        <v>7.5</v>
      </c>
      <c r="U39" s="3">
        <f t="shared" si="5"/>
        <v>225</v>
      </c>
      <c r="V39" s="19"/>
    </row>
    <row r="40" spans="1:22" ht="54" x14ac:dyDescent="0.3">
      <c r="B40" s="14" t="s">
        <v>199</v>
      </c>
      <c r="C40" s="65"/>
      <c r="D40" s="65"/>
      <c r="E40" s="65"/>
      <c r="F40" s="65"/>
      <c r="G40" s="12">
        <v>5</v>
      </c>
      <c r="H40" s="15">
        <v>150</v>
      </c>
      <c r="I40" s="15">
        <v>45</v>
      </c>
      <c r="J40" s="3">
        <v>0.5</v>
      </c>
      <c r="K40" s="15">
        <f t="shared" si="0"/>
        <v>15</v>
      </c>
      <c r="L40" s="17">
        <v>2</v>
      </c>
      <c r="M40" s="15">
        <f t="shared" si="1"/>
        <v>1</v>
      </c>
      <c r="N40" s="15">
        <f t="shared" si="2"/>
        <v>30</v>
      </c>
      <c r="O40" s="3">
        <v>1</v>
      </c>
      <c r="P40" s="15">
        <f t="shared" si="3"/>
        <v>30</v>
      </c>
      <c r="Q40" s="38">
        <v>5</v>
      </c>
      <c r="R40" s="15">
        <f t="shared" si="7"/>
        <v>5</v>
      </c>
      <c r="S40" s="15">
        <f t="shared" si="4"/>
        <v>150</v>
      </c>
      <c r="T40" s="4">
        <f t="shared" si="6"/>
        <v>6</v>
      </c>
      <c r="U40" s="3">
        <f t="shared" si="5"/>
        <v>180</v>
      </c>
      <c r="V40" s="19"/>
    </row>
    <row r="41" spans="1:22" ht="108" x14ac:dyDescent="0.3">
      <c r="B41" s="14" t="s">
        <v>71</v>
      </c>
      <c r="C41" s="65"/>
      <c r="D41" s="65"/>
      <c r="E41" s="65"/>
      <c r="F41" s="65"/>
      <c r="G41" s="12">
        <v>4</v>
      </c>
      <c r="H41" s="15">
        <v>120</v>
      </c>
      <c r="I41" s="15">
        <v>45</v>
      </c>
      <c r="J41" s="3">
        <v>0</v>
      </c>
      <c r="K41" s="15">
        <f t="shared" si="0"/>
        <v>0</v>
      </c>
      <c r="L41" s="17">
        <v>0</v>
      </c>
      <c r="M41" s="15">
        <f t="shared" si="1"/>
        <v>0</v>
      </c>
      <c r="N41" s="15">
        <f t="shared" si="2"/>
        <v>0</v>
      </c>
      <c r="O41" s="3">
        <v>1.5</v>
      </c>
      <c r="P41" s="15">
        <f t="shared" si="3"/>
        <v>45</v>
      </c>
      <c r="Q41" s="38">
        <v>6</v>
      </c>
      <c r="R41" s="15">
        <f t="shared" si="7"/>
        <v>9</v>
      </c>
      <c r="S41" s="15">
        <f t="shared" si="4"/>
        <v>270</v>
      </c>
      <c r="T41" s="4">
        <f t="shared" si="6"/>
        <v>9</v>
      </c>
      <c r="U41" s="3">
        <f t="shared" si="5"/>
        <v>270</v>
      </c>
      <c r="V41" s="26" t="s">
        <v>409</v>
      </c>
    </row>
    <row r="42" spans="1:22" ht="72" x14ac:dyDescent="0.35">
      <c r="A42" s="8"/>
      <c r="B42" s="14" t="s">
        <v>200</v>
      </c>
      <c r="C42" s="66"/>
      <c r="D42" s="65"/>
      <c r="E42" s="65"/>
      <c r="F42" s="65"/>
      <c r="G42" s="16">
        <v>5</v>
      </c>
      <c r="H42" s="15">
        <v>150</v>
      </c>
      <c r="I42" s="15">
        <v>45</v>
      </c>
      <c r="J42" s="3">
        <v>0.5</v>
      </c>
      <c r="K42" s="15">
        <f t="shared" si="0"/>
        <v>15</v>
      </c>
      <c r="L42" s="9">
        <v>2</v>
      </c>
      <c r="M42" s="15">
        <f t="shared" si="1"/>
        <v>1</v>
      </c>
      <c r="N42" s="15">
        <f t="shared" si="2"/>
        <v>30</v>
      </c>
      <c r="O42" s="3">
        <v>1</v>
      </c>
      <c r="P42" s="15">
        <f t="shared" si="3"/>
        <v>30</v>
      </c>
      <c r="Q42" s="39">
        <v>5</v>
      </c>
      <c r="R42" s="15">
        <f t="shared" si="7"/>
        <v>5</v>
      </c>
      <c r="S42" s="15">
        <f t="shared" si="4"/>
        <v>150</v>
      </c>
      <c r="T42" s="4">
        <f t="shared" si="6"/>
        <v>6</v>
      </c>
      <c r="U42" s="3">
        <f t="shared" si="5"/>
        <v>180</v>
      </c>
      <c r="V42" s="10"/>
    </row>
    <row r="43" spans="1:22" x14ac:dyDescent="0.35">
      <c r="A43" s="8"/>
      <c r="B43" s="62" t="s">
        <v>155</v>
      </c>
      <c r="C43" s="13" t="s">
        <v>17</v>
      </c>
      <c r="D43" s="65"/>
      <c r="E43" s="65"/>
      <c r="F43" s="65"/>
      <c r="G43" s="87">
        <v>4</v>
      </c>
      <c r="H43" s="15">
        <v>120</v>
      </c>
      <c r="I43" s="15">
        <v>45</v>
      </c>
      <c r="J43" s="3">
        <v>0.5</v>
      </c>
      <c r="K43" s="15">
        <f t="shared" si="0"/>
        <v>15</v>
      </c>
      <c r="L43" s="9">
        <v>1</v>
      </c>
      <c r="M43" s="15">
        <f t="shared" si="1"/>
        <v>0.5</v>
      </c>
      <c r="N43" s="15">
        <f t="shared" si="2"/>
        <v>15</v>
      </c>
      <c r="O43" s="3">
        <v>1</v>
      </c>
      <c r="P43" s="15">
        <f t="shared" si="3"/>
        <v>30</v>
      </c>
      <c r="Q43" s="9">
        <v>4</v>
      </c>
      <c r="R43" s="15">
        <f t="shared" si="7"/>
        <v>4</v>
      </c>
      <c r="S43" s="15">
        <f t="shared" si="4"/>
        <v>120</v>
      </c>
      <c r="T43" s="4">
        <f t="shared" si="6"/>
        <v>4.5</v>
      </c>
      <c r="U43" s="3">
        <f t="shared" si="5"/>
        <v>135</v>
      </c>
      <c r="V43" s="10"/>
    </row>
    <row r="44" spans="1:22" x14ac:dyDescent="0.35">
      <c r="A44" s="8"/>
      <c r="B44" s="63"/>
      <c r="C44" s="13" t="s">
        <v>18</v>
      </c>
      <c r="D44" s="65"/>
      <c r="E44" s="65"/>
      <c r="F44" s="65"/>
      <c r="G44" s="88"/>
      <c r="H44" s="15">
        <v>120</v>
      </c>
      <c r="I44" s="15">
        <v>45</v>
      </c>
      <c r="J44" s="3">
        <v>0.5</v>
      </c>
      <c r="K44" s="15">
        <f t="shared" si="0"/>
        <v>15</v>
      </c>
      <c r="L44" s="9">
        <v>1</v>
      </c>
      <c r="M44" s="15">
        <f t="shared" si="1"/>
        <v>0.5</v>
      </c>
      <c r="N44" s="15">
        <f t="shared" si="2"/>
        <v>15</v>
      </c>
      <c r="O44" s="3">
        <v>1</v>
      </c>
      <c r="P44" s="15">
        <f t="shared" si="3"/>
        <v>30</v>
      </c>
      <c r="Q44" s="9">
        <v>1</v>
      </c>
      <c r="R44" s="15">
        <f t="shared" si="7"/>
        <v>1</v>
      </c>
      <c r="S44" s="15">
        <f t="shared" si="4"/>
        <v>30</v>
      </c>
      <c r="T44" s="4">
        <f t="shared" si="6"/>
        <v>1.5</v>
      </c>
      <c r="U44" s="3">
        <f t="shared" si="5"/>
        <v>45</v>
      </c>
      <c r="V44" s="20"/>
    </row>
    <row r="45" spans="1:22" x14ac:dyDescent="0.35">
      <c r="B45" s="62" t="s">
        <v>152</v>
      </c>
      <c r="C45" s="13" t="s">
        <v>17</v>
      </c>
      <c r="D45" s="65"/>
      <c r="E45" s="65"/>
      <c r="F45" s="65"/>
      <c r="G45" s="95">
        <v>4</v>
      </c>
      <c r="H45" s="15">
        <v>120</v>
      </c>
      <c r="I45" s="15">
        <v>45</v>
      </c>
      <c r="J45" s="3">
        <v>0.5</v>
      </c>
      <c r="K45" s="15">
        <f t="shared" si="0"/>
        <v>15</v>
      </c>
      <c r="L45" s="24">
        <v>1</v>
      </c>
      <c r="M45" s="15">
        <f t="shared" si="1"/>
        <v>0.5</v>
      </c>
      <c r="N45" s="15">
        <f t="shared" si="2"/>
        <v>15</v>
      </c>
      <c r="O45" s="3">
        <v>1</v>
      </c>
      <c r="P45" s="15">
        <f t="shared" si="3"/>
        <v>30</v>
      </c>
      <c r="Q45" s="24">
        <v>4</v>
      </c>
      <c r="R45" s="15">
        <f t="shared" si="7"/>
        <v>4</v>
      </c>
      <c r="S45" s="15">
        <f t="shared" si="4"/>
        <v>120</v>
      </c>
      <c r="T45" s="4">
        <f t="shared" si="6"/>
        <v>4.5</v>
      </c>
      <c r="U45" s="3">
        <f t="shared" si="5"/>
        <v>135</v>
      </c>
      <c r="V45" s="25"/>
    </row>
    <row r="46" spans="1:22" x14ac:dyDescent="0.35">
      <c r="B46" s="63"/>
      <c r="C46" s="13" t="s">
        <v>18</v>
      </c>
      <c r="D46" s="65"/>
      <c r="E46" s="65"/>
      <c r="F46" s="65"/>
      <c r="G46" s="95"/>
      <c r="H46" s="15">
        <v>120</v>
      </c>
      <c r="I46" s="15">
        <v>45</v>
      </c>
      <c r="J46" s="3">
        <v>0.5</v>
      </c>
      <c r="K46" s="15">
        <f t="shared" si="0"/>
        <v>15</v>
      </c>
      <c r="L46" s="24">
        <v>1</v>
      </c>
      <c r="M46" s="15">
        <f t="shared" si="1"/>
        <v>0.5</v>
      </c>
      <c r="N46" s="15">
        <f t="shared" si="2"/>
        <v>15</v>
      </c>
      <c r="O46" s="3">
        <v>1</v>
      </c>
      <c r="P46" s="15">
        <f t="shared" si="3"/>
        <v>30</v>
      </c>
      <c r="Q46" s="24">
        <v>1</v>
      </c>
      <c r="R46" s="15">
        <f t="shared" si="7"/>
        <v>1</v>
      </c>
      <c r="S46" s="15">
        <f t="shared" si="4"/>
        <v>30</v>
      </c>
      <c r="T46" s="4">
        <f t="shared" si="6"/>
        <v>1.5</v>
      </c>
      <c r="U46" s="3">
        <f t="shared" si="5"/>
        <v>45</v>
      </c>
      <c r="V46" s="25"/>
    </row>
    <row r="47" spans="1:22" x14ac:dyDescent="0.35">
      <c r="B47" s="62" t="s">
        <v>104</v>
      </c>
      <c r="C47" s="13" t="s">
        <v>17</v>
      </c>
      <c r="D47" s="65"/>
      <c r="E47" s="65"/>
      <c r="F47" s="65"/>
      <c r="G47" s="95">
        <v>4</v>
      </c>
      <c r="H47" s="15">
        <v>120</v>
      </c>
      <c r="I47" s="15">
        <v>45</v>
      </c>
      <c r="J47" s="3">
        <v>0.5</v>
      </c>
      <c r="K47" s="15">
        <f t="shared" si="0"/>
        <v>15</v>
      </c>
      <c r="L47" s="24">
        <v>1</v>
      </c>
      <c r="M47" s="15">
        <f t="shared" si="1"/>
        <v>0.5</v>
      </c>
      <c r="N47" s="15">
        <f t="shared" si="2"/>
        <v>15</v>
      </c>
      <c r="O47" s="3">
        <v>1</v>
      </c>
      <c r="P47" s="15">
        <f t="shared" si="3"/>
        <v>30</v>
      </c>
      <c r="Q47" s="24">
        <v>4</v>
      </c>
      <c r="R47" s="15">
        <f t="shared" si="7"/>
        <v>4</v>
      </c>
      <c r="S47" s="15">
        <f t="shared" si="4"/>
        <v>120</v>
      </c>
      <c r="T47" s="4">
        <f t="shared" si="6"/>
        <v>4.5</v>
      </c>
      <c r="U47" s="3">
        <f t="shared" si="5"/>
        <v>135</v>
      </c>
      <c r="V47" s="25"/>
    </row>
    <row r="48" spans="1:22" x14ac:dyDescent="0.35">
      <c r="B48" s="63"/>
      <c r="C48" s="13" t="s">
        <v>18</v>
      </c>
      <c r="D48" s="66"/>
      <c r="E48" s="66"/>
      <c r="F48" s="66"/>
      <c r="G48" s="95"/>
      <c r="H48" s="15">
        <v>120</v>
      </c>
      <c r="I48" s="15">
        <v>45</v>
      </c>
      <c r="J48" s="3">
        <v>0.5</v>
      </c>
      <c r="K48" s="15">
        <f t="shared" si="0"/>
        <v>15</v>
      </c>
      <c r="L48" s="24">
        <v>1</v>
      </c>
      <c r="M48" s="15">
        <f t="shared" si="1"/>
        <v>0.5</v>
      </c>
      <c r="N48" s="15">
        <f t="shared" si="2"/>
        <v>15</v>
      </c>
      <c r="O48" s="3">
        <v>1</v>
      </c>
      <c r="P48" s="15">
        <f t="shared" si="3"/>
        <v>30</v>
      </c>
      <c r="Q48" s="24">
        <v>1</v>
      </c>
      <c r="R48" s="15">
        <f t="shared" si="7"/>
        <v>1</v>
      </c>
      <c r="S48" s="15">
        <f t="shared" si="4"/>
        <v>30</v>
      </c>
      <c r="T48" s="4">
        <f t="shared" si="6"/>
        <v>1.5</v>
      </c>
      <c r="U48" s="3">
        <f t="shared" si="5"/>
        <v>45</v>
      </c>
      <c r="V48" s="25"/>
    </row>
  </sheetData>
  <autoFilter ref="A4:V48" xr:uid="{00000000-0009-0000-0000-000002000000}"/>
  <mergeCells count="75">
    <mergeCell ref="A6:A17"/>
    <mergeCell ref="D18:D19"/>
    <mergeCell ref="E18:E19"/>
    <mergeCell ref="D34:D38"/>
    <mergeCell ref="E34:E38"/>
    <mergeCell ref="D29:D33"/>
    <mergeCell ref="E29:E33"/>
    <mergeCell ref="D24:D28"/>
    <mergeCell ref="E24:E28"/>
    <mergeCell ref="D8:D15"/>
    <mergeCell ref="B6:B7"/>
    <mergeCell ref="F34:F38"/>
    <mergeCell ref="C34:C38"/>
    <mergeCell ref="B45:B46"/>
    <mergeCell ref="B47:B48"/>
    <mergeCell ref="G45:G46"/>
    <mergeCell ref="G47:G48"/>
    <mergeCell ref="B43:B44"/>
    <mergeCell ref="G43:G44"/>
    <mergeCell ref="F39:F48"/>
    <mergeCell ref="E39:E48"/>
    <mergeCell ref="D39:D48"/>
    <mergeCell ref="C39:C42"/>
    <mergeCell ref="F29:F33"/>
    <mergeCell ref="C29:C33"/>
    <mergeCell ref="F24:F28"/>
    <mergeCell ref="C24:C28"/>
    <mergeCell ref="B22:B23"/>
    <mergeCell ref="G22:G23"/>
    <mergeCell ref="B20:B21"/>
    <mergeCell ref="G20:G21"/>
    <mergeCell ref="D20:D23"/>
    <mergeCell ref="E20:E23"/>
    <mergeCell ref="F20:F23"/>
    <mergeCell ref="G16:G17"/>
    <mergeCell ref="B16:B17"/>
    <mergeCell ref="D16:D17"/>
    <mergeCell ref="E16:E17"/>
    <mergeCell ref="F16:F17"/>
    <mergeCell ref="F18:F19"/>
    <mergeCell ref="C18:C19"/>
    <mergeCell ref="B12:B13"/>
    <mergeCell ref="F8:F15"/>
    <mergeCell ref="E8:E15"/>
    <mergeCell ref="G12:G13"/>
    <mergeCell ref="U2:U4"/>
    <mergeCell ref="B14:B15"/>
    <mergeCell ref="G14:G15"/>
    <mergeCell ref="B8:B9"/>
    <mergeCell ref="B10:B11"/>
    <mergeCell ref="N2:N4"/>
    <mergeCell ref="H2:H4"/>
    <mergeCell ref="I2:I4"/>
    <mergeCell ref="J2:J4"/>
    <mergeCell ref="K2:K4"/>
    <mergeCell ref="L2:L4"/>
    <mergeCell ref="M2:M4"/>
    <mergeCell ref="G10:G11"/>
    <mergeCell ref="B2:B4"/>
    <mergeCell ref="C2:C4"/>
    <mergeCell ref="D2:E3"/>
    <mergeCell ref="F2:F4"/>
    <mergeCell ref="G2:G4"/>
    <mergeCell ref="G8:G9"/>
    <mergeCell ref="V2:V4"/>
    <mergeCell ref="O2:O4"/>
    <mergeCell ref="P2:P4"/>
    <mergeCell ref="Q2:Q4"/>
    <mergeCell ref="R2:R4"/>
    <mergeCell ref="S2:S4"/>
    <mergeCell ref="T2:T4"/>
    <mergeCell ref="D6:D7"/>
    <mergeCell ref="E6:E7"/>
    <mergeCell ref="F6:F7"/>
    <mergeCell ref="G6:G7"/>
  </mergeCells>
  <pageMargins left="0.7" right="0.7" top="0.75" bottom="0.75" header="0.3" footer="0.3"/>
  <pageSetup paperSize="9" scale="30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W43"/>
  <sheetViews>
    <sheetView zoomScale="40" zoomScaleNormal="40" workbookViewId="0">
      <pane xSplit="6" ySplit="4" topLeftCell="G9" activePane="bottomRight" state="frozen"/>
      <selection pane="topRight" activeCell="G1" sqref="G1"/>
      <selection pane="bottomLeft" activeCell="A5" sqref="A5"/>
      <selection pane="bottomRight" activeCell="V27" sqref="V27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ht="36" x14ac:dyDescent="0.3">
      <c r="B5" s="14" t="s">
        <v>157</v>
      </c>
      <c r="C5" s="13" t="s">
        <v>17</v>
      </c>
      <c r="D5" s="12">
        <v>13</v>
      </c>
      <c r="E5" s="12"/>
      <c r="F5" s="12" t="s">
        <v>188</v>
      </c>
      <c r="G5" s="12">
        <v>5</v>
      </c>
      <c r="H5" s="15">
        <v>150</v>
      </c>
      <c r="I5" s="15">
        <v>45</v>
      </c>
      <c r="J5" s="3">
        <v>0.5</v>
      </c>
      <c r="K5" s="15">
        <f>J5*30</f>
        <v>15</v>
      </c>
      <c r="L5" s="17">
        <v>1</v>
      </c>
      <c r="M5" s="15">
        <f>J5*L5</f>
        <v>0.5</v>
      </c>
      <c r="N5" s="15">
        <f>K5*L5</f>
        <v>15</v>
      </c>
      <c r="O5" s="3">
        <v>1</v>
      </c>
      <c r="P5" s="15">
        <f>O5*30</f>
        <v>30</v>
      </c>
      <c r="Q5" s="17">
        <v>1</v>
      </c>
      <c r="R5" s="15">
        <f>O5*Q5</f>
        <v>1</v>
      </c>
      <c r="S5" s="15">
        <f>P5*Q5</f>
        <v>30</v>
      </c>
      <c r="T5" s="4">
        <f>M5+R5</f>
        <v>1.5</v>
      </c>
      <c r="U5" s="3">
        <f>N5+S5</f>
        <v>45</v>
      </c>
      <c r="V5" s="19"/>
    </row>
    <row r="6" spans="1:22" ht="39.75" customHeight="1" x14ac:dyDescent="0.35">
      <c r="A6" s="8"/>
      <c r="B6" s="14" t="s">
        <v>158</v>
      </c>
      <c r="C6" s="64" t="s">
        <v>17</v>
      </c>
      <c r="D6" s="64">
        <v>1</v>
      </c>
      <c r="E6" s="64"/>
      <c r="F6" s="64" t="s">
        <v>156</v>
      </c>
      <c r="G6" s="16">
        <v>4</v>
      </c>
      <c r="H6" s="15">
        <v>120</v>
      </c>
      <c r="I6" s="15">
        <v>45</v>
      </c>
      <c r="J6" s="3">
        <v>0.5</v>
      </c>
      <c r="K6" s="15">
        <f t="shared" ref="K6:K43" si="0">J6*30</f>
        <v>15</v>
      </c>
      <c r="L6" s="17">
        <v>1</v>
      </c>
      <c r="M6" s="15">
        <f t="shared" ref="M6:M43" si="1">J6*L6</f>
        <v>0.5</v>
      </c>
      <c r="N6" s="15">
        <f t="shared" ref="N6:N43" si="2">K6*L6</f>
        <v>15</v>
      </c>
      <c r="O6" s="3">
        <v>1</v>
      </c>
      <c r="P6" s="15">
        <f t="shared" ref="P6:P43" si="3">O6*30</f>
        <v>30</v>
      </c>
      <c r="Q6" s="17">
        <v>1</v>
      </c>
      <c r="R6" s="15">
        <f t="shared" ref="R6:R43" si="4">O6*Q6</f>
        <v>1</v>
      </c>
      <c r="S6" s="15">
        <f t="shared" ref="S6:S43" si="5">P6*Q6</f>
        <v>30</v>
      </c>
      <c r="T6" s="30">
        <v>0</v>
      </c>
      <c r="U6" s="28">
        <v>0</v>
      </c>
      <c r="V6" s="10"/>
    </row>
    <row r="7" spans="1:22" x14ac:dyDescent="0.3">
      <c r="A7" s="7"/>
      <c r="B7" s="14" t="s">
        <v>159</v>
      </c>
      <c r="C7" s="65"/>
      <c r="D7" s="65"/>
      <c r="E7" s="65"/>
      <c r="F7" s="65"/>
      <c r="G7" s="12">
        <v>4</v>
      </c>
      <c r="H7" s="15">
        <v>120</v>
      </c>
      <c r="I7" s="15">
        <v>45</v>
      </c>
      <c r="J7" s="3">
        <v>0.5</v>
      </c>
      <c r="K7" s="15">
        <f t="shared" si="0"/>
        <v>15</v>
      </c>
      <c r="L7" s="17">
        <v>1</v>
      </c>
      <c r="M7" s="15">
        <f t="shared" si="1"/>
        <v>0.5</v>
      </c>
      <c r="N7" s="15">
        <f t="shared" si="2"/>
        <v>15</v>
      </c>
      <c r="O7" s="3">
        <v>1</v>
      </c>
      <c r="P7" s="15">
        <f t="shared" si="3"/>
        <v>30</v>
      </c>
      <c r="Q7" s="17">
        <v>1</v>
      </c>
      <c r="R7" s="15">
        <f t="shared" si="4"/>
        <v>1</v>
      </c>
      <c r="S7" s="15">
        <f t="shared" si="5"/>
        <v>30</v>
      </c>
      <c r="T7" s="30">
        <v>0</v>
      </c>
      <c r="U7" s="28">
        <v>0</v>
      </c>
      <c r="V7" s="19"/>
    </row>
    <row r="8" spans="1:22" ht="36" x14ac:dyDescent="0.3">
      <c r="A8" s="7"/>
      <c r="B8" s="37" t="s">
        <v>160</v>
      </c>
      <c r="C8" s="65"/>
      <c r="D8" s="65"/>
      <c r="E8" s="65"/>
      <c r="F8" s="65"/>
      <c r="G8" s="12">
        <v>3</v>
      </c>
      <c r="H8" s="15">
        <v>90</v>
      </c>
      <c r="I8" s="15">
        <v>30</v>
      </c>
      <c r="J8" s="3">
        <v>0.5</v>
      </c>
      <c r="K8" s="15">
        <f t="shared" si="0"/>
        <v>15</v>
      </c>
      <c r="L8" s="40">
        <v>0</v>
      </c>
      <c r="M8" s="15">
        <f t="shared" si="1"/>
        <v>0</v>
      </c>
      <c r="N8" s="15">
        <f t="shared" si="2"/>
        <v>0</v>
      </c>
      <c r="O8" s="3">
        <v>0.5</v>
      </c>
      <c r="P8" s="15">
        <f t="shared" si="3"/>
        <v>15</v>
      </c>
      <c r="Q8" s="40">
        <v>0</v>
      </c>
      <c r="R8" s="15">
        <f t="shared" si="4"/>
        <v>0</v>
      </c>
      <c r="S8" s="15">
        <f t="shared" si="5"/>
        <v>0</v>
      </c>
      <c r="T8" s="30">
        <v>0</v>
      </c>
      <c r="U8" s="28">
        <v>0</v>
      </c>
      <c r="V8" s="29" t="s">
        <v>577</v>
      </c>
    </row>
    <row r="9" spans="1:22" ht="83.25" customHeight="1" x14ac:dyDescent="0.3">
      <c r="A9" s="7"/>
      <c r="B9" s="37" t="s">
        <v>161</v>
      </c>
      <c r="C9" s="65"/>
      <c r="D9" s="65"/>
      <c r="E9" s="65"/>
      <c r="F9" s="65"/>
      <c r="G9" s="12">
        <v>5</v>
      </c>
      <c r="H9" s="15">
        <v>150</v>
      </c>
      <c r="I9" s="15">
        <v>45</v>
      </c>
      <c r="J9" s="3">
        <v>0.5</v>
      </c>
      <c r="K9" s="15">
        <f t="shared" si="0"/>
        <v>15</v>
      </c>
      <c r="L9" s="40">
        <v>0</v>
      </c>
      <c r="M9" s="15">
        <f t="shared" si="1"/>
        <v>0</v>
      </c>
      <c r="N9" s="15">
        <f t="shared" si="2"/>
        <v>0</v>
      </c>
      <c r="O9" s="3">
        <v>1</v>
      </c>
      <c r="P9" s="15">
        <f t="shared" si="3"/>
        <v>30</v>
      </c>
      <c r="Q9" s="40">
        <v>0</v>
      </c>
      <c r="R9" s="15">
        <f t="shared" si="4"/>
        <v>0</v>
      </c>
      <c r="S9" s="15">
        <f t="shared" si="5"/>
        <v>0</v>
      </c>
      <c r="T9" s="30">
        <v>0</v>
      </c>
      <c r="U9" s="28">
        <v>0</v>
      </c>
      <c r="V9" s="29" t="s">
        <v>577</v>
      </c>
    </row>
    <row r="10" spans="1:22" ht="57" customHeight="1" x14ac:dyDescent="0.3">
      <c r="A10" s="7"/>
      <c r="B10" s="37" t="s">
        <v>162</v>
      </c>
      <c r="C10" s="66"/>
      <c r="D10" s="65"/>
      <c r="E10" s="65"/>
      <c r="F10" s="65"/>
      <c r="G10" s="12">
        <v>3</v>
      </c>
      <c r="H10" s="15">
        <v>90</v>
      </c>
      <c r="I10" s="15">
        <v>30</v>
      </c>
      <c r="J10" s="3">
        <v>0.5</v>
      </c>
      <c r="K10" s="15">
        <f t="shared" si="0"/>
        <v>15</v>
      </c>
      <c r="L10" s="40">
        <v>0</v>
      </c>
      <c r="M10" s="15">
        <f t="shared" si="1"/>
        <v>0</v>
      </c>
      <c r="N10" s="15">
        <f t="shared" si="2"/>
        <v>0</v>
      </c>
      <c r="O10" s="3">
        <v>0.5</v>
      </c>
      <c r="P10" s="15">
        <f t="shared" si="3"/>
        <v>15</v>
      </c>
      <c r="Q10" s="40">
        <v>0</v>
      </c>
      <c r="R10" s="15">
        <f t="shared" si="4"/>
        <v>0</v>
      </c>
      <c r="S10" s="15">
        <f t="shared" si="5"/>
        <v>0</v>
      </c>
      <c r="T10" s="30">
        <v>0</v>
      </c>
      <c r="U10" s="28">
        <v>0</v>
      </c>
      <c r="V10" s="29" t="s">
        <v>577</v>
      </c>
    </row>
    <row r="11" spans="1:22" x14ac:dyDescent="0.3">
      <c r="A11" s="7"/>
      <c r="B11" s="62" t="s">
        <v>163</v>
      </c>
      <c r="C11" s="13" t="s">
        <v>17</v>
      </c>
      <c r="D11" s="64">
        <v>27</v>
      </c>
      <c r="E11" s="64">
        <v>8</v>
      </c>
      <c r="F11" s="64" t="s">
        <v>167</v>
      </c>
      <c r="G11" s="64">
        <v>4</v>
      </c>
      <c r="H11" s="15">
        <v>120</v>
      </c>
      <c r="I11" s="15">
        <v>45</v>
      </c>
      <c r="J11" s="3">
        <v>0.5</v>
      </c>
      <c r="K11" s="15">
        <f t="shared" si="0"/>
        <v>15</v>
      </c>
      <c r="L11" s="17">
        <v>1</v>
      </c>
      <c r="M11" s="15">
        <f t="shared" si="1"/>
        <v>0.5</v>
      </c>
      <c r="N11" s="15">
        <f t="shared" si="2"/>
        <v>15</v>
      </c>
      <c r="O11" s="3">
        <v>1</v>
      </c>
      <c r="P11" s="15">
        <f t="shared" si="3"/>
        <v>30</v>
      </c>
      <c r="Q11" s="17">
        <v>1</v>
      </c>
      <c r="R11" s="15">
        <f t="shared" si="4"/>
        <v>1</v>
      </c>
      <c r="S11" s="15">
        <f t="shared" si="5"/>
        <v>30</v>
      </c>
      <c r="T11" s="4">
        <f t="shared" ref="T11:T43" si="6">M11+R11</f>
        <v>1.5</v>
      </c>
      <c r="U11" s="3">
        <f t="shared" ref="U11:U43" si="7">N11+S11</f>
        <v>45</v>
      </c>
      <c r="V11" s="19"/>
    </row>
    <row r="12" spans="1:22" ht="35.25" customHeight="1" x14ac:dyDescent="0.3">
      <c r="A12" s="7"/>
      <c r="B12" s="63"/>
      <c r="C12" s="13" t="s">
        <v>18</v>
      </c>
      <c r="D12" s="65"/>
      <c r="E12" s="65"/>
      <c r="F12" s="65"/>
      <c r="G12" s="66"/>
      <c r="H12" s="15">
        <v>120</v>
      </c>
      <c r="I12" s="15">
        <v>45</v>
      </c>
      <c r="J12" s="3">
        <v>0.5</v>
      </c>
      <c r="K12" s="15">
        <f t="shared" si="0"/>
        <v>15</v>
      </c>
      <c r="L12" s="17">
        <v>1</v>
      </c>
      <c r="M12" s="15">
        <f t="shared" si="1"/>
        <v>0.5</v>
      </c>
      <c r="N12" s="15">
        <f t="shared" si="2"/>
        <v>15</v>
      </c>
      <c r="O12" s="3">
        <v>1</v>
      </c>
      <c r="P12" s="15">
        <f t="shared" si="3"/>
        <v>30</v>
      </c>
      <c r="Q12" s="17">
        <v>1</v>
      </c>
      <c r="R12" s="15">
        <f t="shared" si="4"/>
        <v>1</v>
      </c>
      <c r="S12" s="15">
        <f t="shared" si="5"/>
        <v>30</v>
      </c>
      <c r="T12" s="4">
        <f t="shared" si="6"/>
        <v>1.5</v>
      </c>
      <c r="U12" s="3">
        <f t="shared" si="7"/>
        <v>45</v>
      </c>
      <c r="V12" s="19"/>
    </row>
    <row r="13" spans="1:22" x14ac:dyDescent="0.3">
      <c r="A13" s="7"/>
      <c r="B13" s="62" t="s">
        <v>168</v>
      </c>
      <c r="C13" s="13" t="s">
        <v>17</v>
      </c>
      <c r="D13" s="65"/>
      <c r="E13" s="65"/>
      <c r="F13" s="65"/>
      <c r="G13" s="64">
        <v>5</v>
      </c>
      <c r="H13" s="15">
        <v>150</v>
      </c>
      <c r="I13" s="15">
        <v>45</v>
      </c>
      <c r="J13" s="3">
        <v>0.5</v>
      </c>
      <c r="K13" s="15">
        <f t="shared" si="0"/>
        <v>15</v>
      </c>
      <c r="L13" s="17">
        <v>1</v>
      </c>
      <c r="M13" s="15">
        <f t="shared" si="1"/>
        <v>0.5</v>
      </c>
      <c r="N13" s="15">
        <f t="shared" si="2"/>
        <v>15</v>
      </c>
      <c r="O13" s="3">
        <v>1</v>
      </c>
      <c r="P13" s="15">
        <f t="shared" si="3"/>
        <v>30</v>
      </c>
      <c r="Q13" s="17">
        <v>1</v>
      </c>
      <c r="R13" s="15">
        <f t="shared" si="4"/>
        <v>1</v>
      </c>
      <c r="S13" s="15">
        <f t="shared" si="5"/>
        <v>30</v>
      </c>
      <c r="T13" s="4">
        <f t="shared" si="6"/>
        <v>1.5</v>
      </c>
      <c r="U13" s="3">
        <f t="shared" si="7"/>
        <v>45</v>
      </c>
      <c r="V13" s="19"/>
    </row>
    <row r="14" spans="1:22" x14ac:dyDescent="0.3">
      <c r="A14" s="7"/>
      <c r="B14" s="63"/>
      <c r="C14" s="13" t="s">
        <v>18</v>
      </c>
      <c r="D14" s="65"/>
      <c r="E14" s="65"/>
      <c r="F14" s="65"/>
      <c r="G14" s="66"/>
      <c r="H14" s="15">
        <v>150</v>
      </c>
      <c r="I14" s="15">
        <v>45</v>
      </c>
      <c r="J14" s="3">
        <v>0.5</v>
      </c>
      <c r="K14" s="15">
        <f t="shared" si="0"/>
        <v>15</v>
      </c>
      <c r="L14" s="17">
        <v>1</v>
      </c>
      <c r="M14" s="15">
        <f t="shared" si="1"/>
        <v>0.5</v>
      </c>
      <c r="N14" s="15">
        <f t="shared" si="2"/>
        <v>15</v>
      </c>
      <c r="O14" s="3">
        <v>1</v>
      </c>
      <c r="P14" s="15">
        <f t="shared" si="3"/>
        <v>30</v>
      </c>
      <c r="Q14" s="17">
        <v>1</v>
      </c>
      <c r="R14" s="15">
        <f t="shared" si="4"/>
        <v>1</v>
      </c>
      <c r="S14" s="15">
        <f t="shared" si="5"/>
        <v>30</v>
      </c>
      <c r="T14" s="4">
        <f t="shared" si="6"/>
        <v>1.5</v>
      </c>
      <c r="U14" s="3">
        <f t="shared" si="7"/>
        <v>45</v>
      </c>
      <c r="V14" s="19"/>
    </row>
    <row r="15" spans="1:22" x14ac:dyDescent="0.3">
      <c r="A15" s="7"/>
      <c r="B15" s="62" t="s">
        <v>169</v>
      </c>
      <c r="C15" s="13" t="s">
        <v>17</v>
      </c>
      <c r="D15" s="65"/>
      <c r="E15" s="65"/>
      <c r="F15" s="65"/>
      <c r="G15" s="64">
        <v>3</v>
      </c>
      <c r="H15" s="15">
        <v>90</v>
      </c>
      <c r="I15" s="15">
        <v>30</v>
      </c>
      <c r="J15" s="3">
        <v>0.5</v>
      </c>
      <c r="K15" s="15">
        <f t="shared" si="0"/>
        <v>15</v>
      </c>
      <c r="L15" s="17">
        <v>1</v>
      </c>
      <c r="M15" s="15">
        <f t="shared" si="1"/>
        <v>0.5</v>
      </c>
      <c r="N15" s="15">
        <f t="shared" si="2"/>
        <v>15</v>
      </c>
      <c r="O15" s="3">
        <v>0.5</v>
      </c>
      <c r="P15" s="15">
        <f t="shared" si="3"/>
        <v>15</v>
      </c>
      <c r="Q15" s="17">
        <v>1</v>
      </c>
      <c r="R15" s="15">
        <f t="shared" si="4"/>
        <v>0.5</v>
      </c>
      <c r="S15" s="15">
        <f t="shared" si="5"/>
        <v>15</v>
      </c>
      <c r="T15" s="4">
        <f t="shared" si="6"/>
        <v>1</v>
      </c>
      <c r="U15" s="3">
        <f t="shared" si="7"/>
        <v>30</v>
      </c>
      <c r="V15" s="19"/>
    </row>
    <row r="16" spans="1:22" x14ac:dyDescent="0.3">
      <c r="A16" s="7"/>
      <c r="B16" s="63"/>
      <c r="C16" s="13" t="s">
        <v>18</v>
      </c>
      <c r="D16" s="65"/>
      <c r="E16" s="65"/>
      <c r="F16" s="65"/>
      <c r="G16" s="66"/>
      <c r="H16" s="15">
        <v>90</v>
      </c>
      <c r="I16" s="15">
        <v>30</v>
      </c>
      <c r="J16" s="3">
        <v>0.5</v>
      </c>
      <c r="K16" s="15">
        <f t="shared" si="0"/>
        <v>15</v>
      </c>
      <c r="L16" s="17">
        <v>1</v>
      </c>
      <c r="M16" s="15">
        <f t="shared" si="1"/>
        <v>0.5</v>
      </c>
      <c r="N16" s="15">
        <f t="shared" si="2"/>
        <v>15</v>
      </c>
      <c r="O16" s="3">
        <v>0.5</v>
      </c>
      <c r="P16" s="15">
        <f t="shared" si="3"/>
        <v>15</v>
      </c>
      <c r="Q16" s="17">
        <v>1</v>
      </c>
      <c r="R16" s="15">
        <f t="shared" si="4"/>
        <v>0.5</v>
      </c>
      <c r="S16" s="15">
        <f t="shared" si="5"/>
        <v>15</v>
      </c>
      <c r="T16" s="4">
        <f t="shared" si="6"/>
        <v>1</v>
      </c>
      <c r="U16" s="3">
        <f t="shared" si="7"/>
        <v>30</v>
      </c>
      <c r="V16" s="19"/>
    </row>
    <row r="17" spans="1:23" ht="25.2" customHeight="1" x14ac:dyDescent="0.3">
      <c r="A17" s="7"/>
      <c r="B17" s="97" t="s">
        <v>170</v>
      </c>
      <c r="C17" s="13" t="s">
        <v>17</v>
      </c>
      <c r="D17" s="65"/>
      <c r="E17" s="65"/>
      <c r="F17" s="65"/>
      <c r="G17" s="64">
        <v>4</v>
      </c>
      <c r="H17" s="15">
        <v>120</v>
      </c>
      <c r="I17" s="15">
        <v>45</v>
      </c>
      <c r="J17" s="3">
        <v>0.5</v>
      </c>
      <c r="K17" s="15">
        <f t="shared" si="0"/>
        <v>15</v>
      </c>
      <c r="L17" s="17">
        <v>1</v>
      </c>
      <c r="M17" s="15">
        <f t="shared" si="1"/>
        <v>0.5</v>
      </c>
      <c r="N17" s="15">
        <f t="shared" si="2"/>
        <v>15</v>
      </c>
      <c r="O17" s="3">
        <v>1</v>
      </c>
      <c r="P17" s="15">
        <f t="shared" si="3"/>
        <v>30</v>
      </c>
      <c r="Q17" s="17">
        <v>1</v>
      </c>
      <c r="R17" s="15">
        <f t="shared" si="4"/>
        <v>1</v>
      </c>
      <c r="S17" s="15">
        <f t="shared" si="5"/>
        <v>30</v>
      </c>
      <c r="T17" s="4">
        <f t="shared" si="6"/>
        <v>1.5</v>
      </c>
      <c r="U17" s="3">
        <f t="shared" si="7"/>
        <v>45</v>
      </c>
      <c r="V17" s="53"/>
    </row>
    <row r="18" spans="1:23" ht="27.6" customHeight="1" x14ac:dyDescent="0.3">
      <c r="A18" s="7"/>
      <c r="B18" s="98"/>
      <c r="C18" s="13" t="s">
        <v>18</v>
      </c>
      <c r="D18" s="65"/>
      <c r="E18" s="65"/>
      <c r="F18" s="65"/>
      <c r="G18" s="66"/>
      <c r="H18" s="15">
        <v>120</v>
      </c>
      <c r="I18" s="15">
        <v>45</v>
      </c>
      <c r="J18" s="3">
        <v>0.5</v>
      </c>
      <c r="K18" s="15">
        <f t="shared" si="0"/>
        <v>15</v>
      </c>
      <c r="L18" s="17">
        <v>1</v>
      </c>
      <c r="M18" s="15">
        <f t="shared" si="1"/>
        <v>0.5</v>
      </c>
      <c r="N18" s="15">
        <f t="shared" si="2"/>
        <v>15</v>
      </c>
      <c r="O18" s="3">
        <v>1</v>
      </c>
      <c r="P18" s="15">
        <f t="shared" si="3"/>
        <v>30</v>
      </c>
      <c r="Q18" s="17">
        <v>1</v>
      </c>
      <c r="R18" s="15">
        <f t="shared" si="4"/>
        <v>1</v>
      </c>
      <c r="S18" s="15">
        <f t="shared" si="5"/>
        <v>30</v>
      </c>
      <c r="T18" s="4">
        <f t="shared" si="6"/>
        <v>1.5</v>
      </c>
      <c r="U18" s="3">
        <f t="shared" si="7"/>
        <v>45</v>
      </c>
      <c r="V18" s="53"/>
    </row>
    <row r="19" spans="1:23" ht="42.75" customHeight="1" x14ac:dyDescent="0.3">
      <c r="B19" s="97" t="s">
        <v>245</v>
      </c>
      <c r="C19" s="13" t="s">
        <v>17</v>
      </c>
      <c r="D19" s="65"/>
      <c r="E19" s="65"/>
      <c r="F19" s="65"/>
      <c r="G19" s="64">
        <v>5</v>
      </c>
      <c r="H19" s="15">
        <v>150</v>
      </c>
      <c r="I19" s="15">
        <v>45</v>
      </c>
      <c r="J19" s="3">
        <v>0.5</v>
      </c>
      <c r="K19" s="15">
        <f t="shared" si="0"/>
        <v>15</v>
      </c>
      <c r="L19" s="17">
        <v>1</v>
      </c>
      <c r="M19" s="15">
        <f t="shared" si="1"/>
        <v>0.5</v>
      </c>
      <c r="N19" s="15">
        <f t="shared" si="2"/>
        <v>15</v>
      </c>
      <c r="O19" s="3">
        <v>1</v>
      </c>
      <c r="P19" s="15">
        <f t="shared" si="3"/>
        <v>30</v>
      </c>
      <c r="Q19" s="17">
        <v>1</v>
      </c>
      <c r="R19" s="15">
        <f t="shared" si="4"/>
        <v>1</v>
      </c>
      <c r="S19" s="15">
        <f t="shared" si="5"/>
        <v>30</v>
      </c>
      <c r="T19" s="4">
        <f t="shared" si="6"/>
        <v>1.5</v>
      </c>
      <c r="U19" s="3">
        <f t="shared" si="7"/>
        <v>45</v>
      </c>
      <c r="V19" s="19"/>
    </row>
    <row r="20" spans="1:23" ht="50.25" customHeight="1" x14ac:dyDescent="0.3">
      <c r="B20" s="98"/>
      <c r="C20" s="13" t="s">
        <v>18</v>
      </c>
      <c r="D20" s="65"/>
      <c r="E20" s="65"/>
      <c r="F20" s="65"/>
      <c r="G20" s="66"/>
      <c r="H20" s="15">
        <v>150</v>
      </c>
      <c r="I20" s="15">
        <v>45</v>
      </c>
      <c r="J20" s="3">
        <v>0.5</v>
      </c>
      <c r="K20" s="15">
        <f t="shared" si="0"/>
        <v>15</v>
      </c>
      <c r="L20" s="17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17">
        <v>1</v>
      </c>
      <c r="R20" s="15">
        <f t="shared" si="4"/>
        <v>1</v>
      </c>
      <c r="S20" s="15">
        <f t="shared" si="5"/>
        <v>30</v>
      </c>
      <c r="T20" s="4">
        <f t="shared" si="6"/>
        <v>1.5</v>
      </c>
      <c r="U20" s="3">
        <f t="shared" si="7"/>
        <v>45</v>
      </c>
      <c r="V20" s="19"/>
    </row>
    <row r="21" spans="1:23" ht="27.6" customHeight="1" x14ac:dyDescent="0.3">
      <c r="B21" s="97" t="s">
        <v>171</v>
      </c>
      <c r="C21" s="13" t="s">
        <v>17</v>
      </c>
      <c r="D21" s="65"/>
      <c r="E21" s="65"/>
      <c r="F21" s="65"/>
      <c r="G21" s="64">
        <v>3</v>
      </c>
      <c r="H21" s="15">
        <v>90</v>
      </c>
      <c r="I21" s="15">
        <v>30</v>
      </c>
      <c r="J21" s="3">
        <v>0.5</v>
      </c>
      <c r="K21" s="15">
        <f t="shared" si="0"/>
        <v>15</v>
      </c>
      <c r="L21" s="17">
        <v>1</v>
      </c>
      <c r="M21" s="15">
        <f t="shared" si="1"/>
        <v>0.5</v>
      </c>
      <c r="N21" s="15">
        <f t="shared" si="2"/>
        <v>15</v>
      </c>
      <c r="O21" s="3">
        <v>0.5</v>
      </c>
      <c r="P21" s="15">
        <f t="shared" si="3"/>
        <v>15</v>
      </c>
      <c r="Q21" s="17">
        <v>1</v>
      </c>
      <c r="R21" s="15">
        <f t="shared" si="4"/>
        <v>0.5</v>
      </c>
      <c r="S21" s="15">
        <f t="shared" si="5"/>
        <v>15</v>
      </c>
      <c r="T21" s="4">
        <f t="shared" si="6"/>
        <v>1</v>
      </c>
      <c r="U21" s="3">
        <f t="shared" si="7"/>
        <v>30</v>
      </c>
      <c r="V21" s="19"/>
    </row>
    <row r="22" spans="1:23" ht="27.6" customHeight="1" x14ac:dyDescent="0.3">
      <c r="B22" s="98"/>
      <c r="C22" s="13" t="s">
        <v>18</v>
      </c>
      <c r="D22" s="66"/>
      <c r="E22" s="66"/>
      <c r="F22" s="66"/>
      <c r="G22" s="66"/>
      <c r="H22" s="15">
        <v>90</v>
      </c>
      <c r="I22" s="15">
        <v>30</v>
      </c>
      <c r="J22" s="3">
        <v>0.5</v>
      </c>
      <c r="K22" s="15">
        <f t="shared" si="0"/>
        <v>15</v>
      </c>
      <c r="L22" s="17">
        <v>1</v>
      </c>
      <c r="M22" s="15">
        <f t="shared" si="1"/>
        <v>0.5</v>
      </c>
      <c r="N22" s="15">
        <f t="shared" si="2"/>
        <v>15</v>
      </c>
      <c r="O22" s="3">
        <v>0.5</v>
      </c>
      <c r="P22" s="15">
        <f t="shared" si="3"/>
        <v>15</v>
      </c>
      <c r="Q22" s="17">
        <v>1</v>
      </c>
      <c r="R22" s="15">
        <f t="shared" si="4"/>
        <v>0.5</v>
      </c>
      <c r="S22" s="15">
        <f t="shared" si="5"/>
        <v>15</v>
      </c>
      <c r="T22" s="4">
        <f t="shared" si="6"/>
        <v>1</v>
      </c>
      <c r="U22" s="3">
        <f t="shared" si="7"/>
        <v>30</v>
      </c>
      <c r="V22" s="19"/>
    </row>
    <row r="23" spans="1:23" ht="36" x14ac:dyDescent="0.3">
      <c r="B23" s="45" t="s">
        <v>157</v>
      </c>
      <c r="C23" s="64" t="s">
        <v>17</v>
      </c>
      <c r="D23" s="64">
        <v>14</v>
      </c>
      <c r="E23" s="64"/>
      <c r="F23" s="64" t="s">
        <v>23</v>
      </c>
      <c r="G23" s="12">
        <v>5</v>
      </c>
      <c r="H23" s="15">
        <v>150</v>
      </c>
      <c r="I23" s="15">
        <v>45</v>
      </c>
      <c r="J23" s="3">
        <v>0.5</v>
      </c>
      <c r="K23" s="15">
        <f t="shared" si="0"/>
        <v>15</v>
      </c>
      <c r="L23" s="17">
        <v>1</v>
      </c>
      <c r="M23" s="15">
        <f t="shared" si="1"/>
        <v>0.5</v>
      </c>
      <c r="N23" s="15">
        <f t="shared" si="2"/>
        <v>15</v>
      </c>
      <c r="O23" s="3">
        <v>1</v>
      </c>
      <c r="P23" s="15">
        <f t="shared" si="3"/>
        <v>30</v>
      </c>
      <c r="Q23" s="17">
        <v>1</v>
      </c>
      <c r="R23" s="15">
        <f t="shared" si="4"/>
        <v>1</v>
      </c>
      <c r="S23" s="15">
        <f t="shared" si="5"/>
        <v>30</v>
      </c>
      <c r="T23" s="4">
        <f t="shared" si="6"/>
        <v>1.5</v>
      </c>
      <c r="U23" s="3">
        <f t="shared" si="7"/>
        <v>45</v>
      </c>
      <c r="V23" s="19"/>
    </row>
    <row r="24" spans="1:23" ht="39" customHeight="1" x14ac:dyDescent="0.3">
      <c r="B24" s="45" t="s">
        <v>175</v>
      </c>
      <c r="C24" s="65"/>
      <c r="D24" s="65"/>
      <c r="E24" s="65"/>
      <c r="F24" s="65"/>
      <c r="G24" s="12">
        <v>5</v>
      </c>
      <c r="H24" s="15">
        <v>150</v>
      </c>
      <c r="I24" s="15">
        <v>45</v>
      </c>
      <c r="J24" s="3">
        <v>0.5</v>
      </c>
      <c r="K24" s="15">
        <f t="shared" si="0"/>
        <v>15</v>
      </c>
      <c r="L24" s="17">
        <v>1</v>
      </c>
      <c r="M24" s="15">
        <f t="shared" si="1"/>
        <v>0.5</v>
      </c>
      <c r="N24" s="15">
        <f t="shared" si="2"/>
        <v>15</v>
      </c>
      <c r="O24" s="3">
        <v>1</v>
      </c>
      <c r="P24" s="15">
        <f t="shared" si="3"/>
        <v>30</v>
      </c>
      <c r="Q24" s="17">
        <v>1</v>
      </c>
      <c r="R24" s="15">
        <f t="shared" si="4"/>
        <v>1</v>
      </c>
      <c r="S24" s="15">
        <f t="shared" si="5"/>
        <v>30</v>
      </c>
      <c r="T24" s="4">
        <f t="shared" si="6"/>
        <v>1.5</v>
      </c>
      <c r="U24" s="3">
        <f t="shared" si="7"/>
        <v>45</v>
      </c>
      <c r="V24" s="19" t="s">
        <v>599</v>
      </c>
      <c r="W24">
        <v>1.5</v>
      </c>
    </row>
    <row r="25" spans="1:23" x14ac:dyDescent="0.35">
      <c r="A25" s="8"/>
      <c r="B25" s="45" t="s">
        <v>176</v>
      </c>
      <c r="C25" s="65"/>
      <c r="D25" s="65"/>
      <c r="E25" s="65"/>
      <c r="F25" s="65"/>
      <c r="G25" s="16">
        <v>5</v>
      </c>
      <c r="H25" s="15">
        <v>150</v>
      </c>
      <c r="I25" s="15">
        <v>45</v>
      </c>
      <c r="J25" s="3">
        <v>0.5</v>
      </c>
      <c r="K25" s="15">
        <f t="shared" si="0"/>
        <v>15</v>
      </c>
      <c r="L25" s="17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17">
        <v>1</v>
      </c>
      <c r="R25" s="15">
        <f t="shared" si="4"/>
        <v>1</v>
      </c>
      <c r="S25" s="15">
        <f t="shared" si="5"/>
        <v>30</v>
      </c>
      <c r="T25" s="4">
        <f t="shared" si="6"/>
        <v>1.5</v>
      </c>
      <c r="U25" s="3">
        <f t="shared" si="7"/>
        <v>45</v>
      </c>
      <c r="V25" s="25" t="s">
        <v>600</v>
      </c>
      <c r="W25">
        <v>1.5</v>
      </c>
    </row>
    <row r="26" spans="1:23" ht="78" customHeight="1" x14ac:dyDescent="0.35">
      <c r="A26" s="8"/>
      <c r="B26" s="45" t="s">
        <v>295</v>
      </c>
      <c r="C26" s="65"/>
      <c r="D26" s="65"/>
      <c r="E26" s="65"/>
      <c r="F26" s="65"/>
      <c r="G26" s="16">
        <v>5</v>
      </c>
      <c r="H26" s="15">
        <v>150</v>
      </c>
      <c r="I26" s="15">
        <v>45</v>
      </c>
      <c r="J26" s="3">
        <v>0.5</v>
      </c>
      <c r="K26" s="15">
        <f t="shared" si="0"/>
        <v>15</v>
      </c>
      <c r="L26" s="17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17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0"/>
    </row>
    <row r="27" spans="1:23" ht="60" customHeight="1" x14ac:dyDescent="0.3">
      <c r="A27" s="7"/>
      <c r="B27" s="14" t="s">
        <v>605</v>
      </c>
      <c r="C27" s="66"/>
      <c r="D27" s="65"/>
      <c r="E27" s="65"/>
      <c r="F27" s="65"/>
      <c r="G27" s="12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17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17">
        <v>1</v>
      </c>
      <c r="R27" s="15">
        <f t="shared" si="4"/>
        <v>1</v>
      </c>
      <c r="S27" s="15">
        <f t="shared" si="5"/>
        <v>30</v>
      </c>
      <c r="T27" s="4">
        <f t="shared" si="6"/>
        <v>1.5</v>
      </c>
      <c r="U27" s="3">
        <f t="shared" si="7"/>
        <v>45</v>
      </c>
      <c r="V27" s="19" t="s">
        <v>596</v>
      </c>
      <c r="W27">
        <v>1.5</v>
      </c>
    </row>
    <row r="28" spans="1:23" x14ac:dyDescent="0.3">
      <c r="A28" s="7"/>
      <c r="B28" s="14" t="s">
        <v>76</v>
      </c>
      <c r="C28" s="64" t="s">
        <v>17</v>
      </c>
      <c r="D28" s="64">
        <v>5</v>
      </c>
      <c r="E28" s="64"/>
      <c r="F28" s="64" t="s">
        <v>187</v>
      </c>
      <c r="G28" s="12">
        <v>5</v>
      </c>
      <c r="H28" s="15">
        <v>150</v>
      </c>
      <c r="I28" s="15">
        <v>45</v>
      </c>
      <c r="J28" s="3">
        <v>0.5</v>
      </c>
      <c r="K28" s="15">
        <f t="shared" si="0"/>
        <v>15</v>
      </c>
      <c r="L28" s="17">
        <v>1</v>
      </c>
      <c r="M28" s="15">
        <f t="shared" si="1"/>
        <v>0.5</v>
      </c>
      <c r="N28" s="15">
        <f t="shared" si="2"/>
        <v>15</v>
      </c>
      <c r="O28" s="3">
        <v>1</v>
      </c>
      <c r="P28" s="15">
        <f t="shared" si="3"/>
        <v>30</v>
      </c>
      <c r="Q28" s="17">
        <v>1</v>
      </c>
      <c r="R28" s="15">
        <f t="shared" si="4"/>
        <v>1</v>
      </c>
      <c r="S28" s="15">
        <f t="shared" si="5"/>
        <v>30</v>
      </c>
      <c r="T28" s="4">
        <f t="shared" si="6"/>
        <v>1.5</v>
      </c>
      <c r="U28" s="3">
        <f t="shared" si="7"/>
        <v>45</v>
      </c>
      <c r="V28" s="19"/>
    </row>
    <row r="29" spans="1:23" ht="36" x14ac:dyDescent="0.3">
      <c r="A29" s="7"/>
      <c r="B29" s="14" t="s">
        <v>183</v>
      </c>
      <c r="C29" s="65"/>
      <c r="D29" s="65"/>
      <c r="E29" s="65"/>
      <c r="F29" s="65"/>
      <c r="G29" s="12">
        <v>5</v>
      </c>
      <c r="H29" s="15">
        <v>150</v>
      </c>
      <c r="I29" s="15">
        <v>45</v>
      </c>
      <c r="J29" s="3">
        <v>0.5</v>
      </c>
      <c r="K29" s="15">
        <f t="shared" si="0"/>
        <v>15</v>
      </c>
      <c r="L29" s="17">
        <v>1</v>
      </c>
      <c r="M29" s="15">
        <f t="shared" si="1"/>
        <v>0.5</v>
      </c>
      <c r="N29" s="15">
        <f t="shared" si="2"/>
        <v>15</v>
      </c>
      <c r="O29" s="3">
        <v>1</v>
      </c>
      <c r="P29" s="15">
        <f t="shared" si="3"/>
        <v>30</v>
      </c>
      <c r="Q29" s="17">
        <v>1</v>
      </c>
      <c r="R29" s="15">
        <f t="shared" si="4"/>
        <v>1</v>
      </c>
      <c r="S29" s="15">
        <f t="shared" si="5"/>
        <v>30</v>
      </c>
      <c r="T29" s="4">
        <f t="shared" si="6"/>
        <v>1.5</v>
      </c>
      <c r="U29" s="3">
        <f t="shared" si="7"/>
        <v>45</v>
      </c>
      <c r="V29" s="19"/>
    </row>
    <row r="30" spans="1:23" ht="75.75" customHeight="1" x14ac:dyDescent="0.3">
      <c r="A30" s="7"/>
      <c r="B30" s="14" t="s">
        <v>184</v>
      </c>
      <c r="C30" s="65"/>
      <c r="D30" s="65"/>
      <c r="E30" s="65"/>
      <c r="F30" s="65"/>
      <c r="G30" s="12">
        <v>5</v>
      </c>
      <c r="H30" s="15">
        <v>150</v>
      </c>
      <c r="I30" s="15">
        <v>45</v>
      </c>
      <c r="J30" s="3">
        <v>0.5</v>
      </c>
      <c r="K30" s="15">
        <f t="shared" si="0"/>
        <v>15</v>
      </c>
      <c r="L30" s="17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17">
        <v>1</v>
      </c>
      <c r="R30" s="15">
        <f t="shared" si="4"/>
        <v>1</v>
      </c>
      <c r="S30" s="15">
        <f t="shared" si="5"/>
        <v>30</v>
      </c>
      <c r="T30" s="4">
        <f t="shared" si="6"/>
        <v>1.5</v>
      </c>
      <c r="U30" s="3">
        <f t="shared" si="7"/>
        <v>45</v>
      </c>
      <c r="V30" s="19"/>
    </row>
    <row r="31" spans="1:23" ht="136.5" customHeight="1" x14ac:dyDescent="0.3">
      <c r="A31" s="7"/>
      <c r="B31" s="14" t="s">
        <v>185</v>
      </c>
      <c r="C31" s="65"/>
      <c r="D31" s="65"/>
      <c r="E31" s="65"/>
      <c r="F31" s="65"/>
      <c r="G31" s="12">
        <v>5</v>
      </c>
      <c r="H31" s="15">
        <v>150</v>
      </c>
      <c r="I31" s="15">
        <v>45</v>
      </c>
      <c r="J31" s="3">
        <v>0.5</v>
      </c>
      <c r="K31" s="15">
        <f t="shared" si="0"/>
        <v>15</v>
      </c>
      <c r="L31" s="17">
        <v>1</v>
      </c>
      <c r="M31" s="15">
        <f t="shared" si="1"/>
        <v>0.5</v>
      </c>
      <c r="N31" s="15">
        <f t="shared" si="2"/>
        <v>15</v>
      </c>
      <c r="O31" s="3">
        <v>1</v>
      </c>
      <c r="P31" s="15">
        <f t="shared" si="3"/>
        <v>30</v>
      </c>
      <c r="Q31" s="17">
        <v>1</v>
      </c>
      <c r="R31" s="15">
        <f t="shared" si="4"/>
        <v>1</v>
      </c>
      <c r="S31" s="15">
        <f t="shared" si="5"/>
        <v>30</v>
      </c>
      <c r="T31" s="4">
        <f t="shared" si="6"/>
        <v>1.5</v>
      </c>
      <c r="U31" s="3">
        <f t="shared" si="7"/>
        <v>45</v>
      </c>
      <c r="V31" s="19"/>
    </row>
    <row r="32" spans="1:23" ht="93.75" customHeight="1" x14ac:dyDescent="0.3">
      <c r="A32" s="7"/>
      <c r="B32" s="14" t="s">
        <v>186</v>
      </c>
      <c r="C32" s="66"/>
      <c r="D32" s="65"/>
      <c r="E32" s="65"/>
      <c r="F32" s="65"/>
      <c r="G32" s="12">
        <v>5</v>
      </c>
      <c r="H32" s="15">
        <v>150</v>
      </c>
      <c r="I32" s="15">
        <v>45</v>
      </c>
      <c r="J32" s="3">
        <v>0.5</v>
      </c>
      <c r="K32" s="15">
        <f t="shared" si="0"/>
        <v>15</v>
      </c>
      <c r="L32" s="17">
        <v>1</v>
      </c>
      <c r="M32" s="15">
        <f t="shared" si="1"/>
        <v>0.5</v>
      </c>
      <c r="N32" s="15">
        <f t="shared" si="2"/>
        <v>15</v>
      </c>
      <c r="O32" s="3">
        <v>1</v>
      </c>
      <c r="P32" s="15">
        <f t="shared" si="3"/>
        <v>30</v>
      </c>
      <c r="Q32" s="17">
        <v>1</v>
      </c>
      <c r="R32" s="15">
        <f t="shared" si="4"/>
        <v>1</v>
      </c>
      <c r="S32" s="15">
        <f t="shared" si="5"/>
        <v>30</v>
      </c>
      <c r="T32" s="4">
        <f t="shared" si="6"/>
        <v>1.5</v>
      </c>
      <c r="U32" s="3">
        <f t="shared" si="7"/>
        <v>45</v>
      </c>
      <c r="V32" s="19"/>
    </row>
    <row r="33" spans="1:22" ht="24" customHeight="1" x14ac:dyDescent="0.3">
      <c r="A33" s="7"/>
      <c r="B33" s="14" t="s">
        <v>194</v>
      </c>
      <c r="C33" s="64" t="s">
        <v>17</v>
      </c>
      <c r="D33" s="64">
        <v>12</v>
      </c>
      <c r="E33" s="64"/>
      <c r="F33" s="64" t="s">
        <v>28</v>
      </c>
      <c r="G33" s="12">
        <v>3</v>
      </c>
      <c r="H33" s="15">
        <v>90</v>
      </c>
      <c r="I33" s="15">
        <v>30</v>
      </c>
      <c r="J33" s="3">
        <v>0.5</v>
      </c>
      <c r="K33" s="15">
        <f t="shared" si="0"/>
        <v>15</v>
      </c>
      <c r="L33" s="17">
        <v>1</v>
      </c>
      <c r="M33" s="15">
        <f t="shared" si="1"/>
        <v>0.5</v>
      </c>
      <c r="N33" s="15">
        <f t="shared" si="2"/>
        <v>15</v>
      </c>
      <c r="O33" s="3">
        <v>0.5</v>
      </c>
      <c r="P33" s="15">
        <f t="shared" si="3"/>
        <v>15</v>
      </c>
      <c r="Q33" s="17">
        <v>1</v>
      </c>
      <c r="R33" s="15">
        <f t="shared" si="4"/>
        <v>0.5</v>
      </c>
      <c r="S33" s="15">
        <f t="shared" si="5"/>
        <v>15</v>
      </c>
      <c r="T33" s="4">
        <f t="shared" si="6"/>
        <v>1</v>
      </c>
      <c r="U33" s="3">
        <f t="shared" si="7"/>
        <v>30</v>
      </c>
      <c r="V33" s="19"/>
    </row>
    <row r="34" spans="1:22" ht="36" x14ac:dyDescent="0.3">
      <c r="A34" s="7"/>
      <c r="B34" s="14" t="s">
        <v>195</v>
      </c>
      <c r="C34" s="65"/>
      <c r="D34" s="65"/>
      <c r="E34" s="65"/>
      <c r="F34" s="65"/>
      <c r="G34" s="12">
        <v>4</v>
      </c>
      <c r="H34" s="15">
        <v>120</v>
      </c>
      <c r="I34" s="15">
        <v>45</v>
      </c>
      <c r="J34" s="3">
        <v>0.5</v>
      </c>
      <c r="K34" s="15">
        <f t="shared" si="0"/>
        <v>15</v>
      </c>
      <c r="L34" s="17">
        <v>1</v>
      </c>
      <c r="M34" s="15">
        <f t="shared" si="1"/>
        <v>0.5</v>
      </c>
      <c r="N34" s="15">
        <f t="shared" si="2"/>
        <v>15</v>
      </c>
      <c r="O34" s="3">
        <v>1</v>
      </c>
      <c r="P34" s="15">
        <f t="shared" si="3"/>
        <v>30</v>
      </c>
      <c r="Q34" s="17">
        <v>1</v>
      </c>
      <c r="R34" s="15">
        <f t="shared" si="4"/>
        <v>1</v>
      </c>
      <c r="S34" s="15">
        <f t="shared" si="5"/>
        <v>30</v>
      </c>
      <c r="T34" s="4">
        <f t="shared" si="6"/>
        <v>1.5</v>
      </c>
      <c r="U34" s="3">
        <f t="shared" si="7"/>
        <v>45</v>
      </c>
      <c r="V34" s="19"/>
    </row>
    <row r="35" spans="1:22" ht="36" x14ac:dyDescent="0.3">
      <c r="B35" s="14" t="s">
        <v>196</v>
      </c>
      <c r="C35" s="65"/>
      <c r="D35" s="65"/>
      <c r="E35" s="65"/>
      <c r="F35" s="65"/>
      <c r="G35" s="12">
        <v>4</v>
      </c>
      <c r="H35" s="15">
        <v>120</v>
      </c>
      <c r="I35" s="15">
        <v>45</v>
      </c>
      <c r="J35" s="3">
        <v>0.5</v>
      </c>
      <c r="K35" s="15">
        <f t="shared" si="0"/>
        <v>15</v>
      </c>
      <c r="L35" s="17">
        <v>1</v>
      </c>
      <c r="M35" s="15">
        <f t="shared" si="1"/>
        <v>0.5</v>
      </c>
      <c r="N35" s="15">
        <f t="shared" si="2"/>
        <v>15</v>
      </c>
      <c r="O35" s="3">
        <v>1</v>
      </c>
      <c r="P35" s="15">
        <f t="shared" si="3"/>
        <v>30</v>
      </c>
      <c r="Q35" s="17">
        <v>1</v>
      </c>
      <c r="R35" s="15">
        <f t="shared" si="4"/>
        <v>1</v>
      </c>
      <c r="S35" s="15">
        <f t="shared" si="5"/>
        <v>30</v>
      </c>
      <c r="T35" s="4">
        <f t="shared" si="6"/>
        <v>1.5</v>
      </c>
      <c r="U35" s="3">
        <f t="shared" si="7"/>
        <v>45</v>
      </c>
      <c r="V35" s="19"/>
    </row>
    <row r="36" spans="1:22" x14ac:dyDescent="0.3">
      <c r="B36" s="14" t="s">
        <v>197</v>
      </c>
      <c r="C36" s="65"/>
      <c r="D36" s="65"/>
      <c r="E36" s="65"/>
      <c r="F36" s="65"/>
      <c r="G36" s="12">
        <v>5</v>
      </c>
      <c r="H36" s="15">
        <v>150</v>
      </c>
      <c r="I36" s="15">
        <v>45</v>
      </c>
      <c r="J36" s="3">
        <v>0.5</v>
      </c>
      <c r="K36" s="15">
        <f t="shared" si="0"/>
        <v>15</v>
      </c>
      <c r="L36" s="17">
        <v>1</v>
      </c>
      <c r="M36" s="15">
        <f t="shared" si="1"/>
        <v>0.5</v>
      </c>
      <c r="N36" s="15">
        <f t="shared" si="2"/>
        <v>15</v>
      </c>
      <c r="O36" s="3">
        <v>1</v>
      </c>
      <c r="P36" s="15">
        <f t="shared" si="3"/>
        <v>30</v>
      </c>
      <c r="Q36" s="17">
        <v>1</v>
      </c>
      <c r="R36" s="15">
        <f t="shared" si="4"/>
        <v>1</v>
      </c>
      <c r="S36" s="15">
        <f t="shared" si="5"/>
        <v>30</v>
      </c>
      <c r="T36" s="4">
        <f t="shared" si="6"/>
        <v>1.5</v>
      </c>
      <c r="U36" s="3">
        <f t="shared" si="7"/>
        <v>45</v>
      </c>
      <c r="V36" s="19"/>
    </row>
    <row r="37" spans="1:22" ht="76.95" customHeight="1" x14ac:dyDescent="0.3">
      <c r="B37" s="14" t="s">
        <v>198</v>
      </c>
      <c r="C37" s="66"/>
      <c r="D37" s="65"/>
      <c r="E37" s="65"/>
      <c r="F37" s="65"/>
      <c r="G37" s="12">
        <v>3</v>
      </c>
      <c r="H37" s="15">
        <v>90</v>
      </c>
      <c r="I37" s="15">
        <v>30</v>
      </c>
      <c r="J37" s="3">
        <v>0.5</v>
      </c>
      <c r="K37" s="15">
        <f t="shared" si="0"/>
        <v>15</v>
      </c>
      <c r="L37" s="17">
        <v>1</v>
      </c>
      <c r="M37" s="15">
        <f t="shared" si="1"/>
        <v>0.5</v>
      </c>
      <c r="N37" s="15">
        <f t="shared" si="2"/>
        <v>15</v>
      </c>
      <c r="O37" s="3">
        <v>0.5</v>
      </c>
      <c r="P37" s="15">
        <f t="shared" si="3"/>
        <v>15</v>
      </c>
      <c r="Q37" s="17">
        <v>1</v>
      </c>
      <c r="R37" s="15">
        <f t="shared" si="4"/>
        <v>0.5</v>
      </c>
      <c r="S37" s="15">
        <f t="shared" si="5"/>
        <v>15</v>
      </c>
      <c r="T37" s="4">
        <f t="shared" si="6"/>
        <v>1</v>
      </c>
      <c r="U37" s="3">
        <f t="shared" si="7"/>
        <v>30</v>
      </c>
      <c r="V37" s="19"/>
    </row>
    <row r="38" spans="1:22" x14ac:dyDescent="0.3">
      <c r="A38" s="22"/>
      <c r="B38" s="27" t="s">
        <v>201</v>
      </c>
      <c r="C38" s="95" t="s">
        <v>206</v>
      </c>
      <c r="D38" s="95">
        <v>94</v>
      </c>
      <c r="E38" s="95">
        <v>30</v>
      </c>
      <c r="F38" s="95" t="s">
        <v>29</v>
      </c>
      <c r="G38" s="15">
        <v>3</v>
      </c>
      <c r="H38" s="15">
        <v>90</v>
      </c>
      <c r="I38" s="15">
        <v>30</v>
      </c>
      <c r="J38" s="3">
        <v>0.5</v>
      </c>
      <c r="K38" s="15">
        <f t="shared" si="0"/>
        <v>15</v>
      </c>
      <c r="L38" s="17">
        <v>2</v>
      </c>
      <c r="M38" s="15">
        <f t="shared" si="1"/>
        <v>1</v>
      </c>
      <c r="N38" s="15">
        <f t="shared" si="2"/>
        <v>30</v>
      </c>
      <c r="O38" s="3">
        <v>0.5</v>
      </c>
      <c r="P38" s="15">
        <f t="shared" si="3"/>
        <v>15</v>
      </c>
      <c r="Q38" s="38">
        <v>5</v>
      </c>
      <c r="R38" s="15">
        <f t="shared" si="4"/>
        <v>2.5</v>
      </c>
      <c r="S38" s="15">
        <f t="shared" si="5"/>
        <v>75</v>
      </c>
      <c r="T38" s="4">
        <f t="shared" si="6"/>
        <v>3.5</v>
      </c>
      <c r="U38" s="3">
        <f t="shared" si="7"/>
        <v>105</v>
      </c>
      <c r="V38" s="19"/>
    </row>
    <row r="39" spans="1:22" x14ac:dyDescent="0.35">
      <c r="A39" s="8"/>
      <c r="B39" s="27" t="s">
        <v>131</v>
      </c>
      <c r="C39" s="95"/>
      <c r="D39" s="95"/>
      <c r="E39" s="95"/>
      <c r="F39" s="95"/>
      <c r="G39" s="19">
        <v>6</v>
      </c>
      <c r="H39" s="15">
        <v>180</v>
      </c>
      <c r="I39" s="15">
        <v>60</v>
      </c>
      <c r="J39" s="3">
        <v>0</v>
      </c>
      <c r="K39" s="15">
        <f t="shared" si="0"/>
        <v>0</v>
      </c>
      <c r="L39" s="9">
        <v>0</v>
      </c>
      <c r="M39" s="15">
        <f t="shared" si="1"/>
        <v>0</v>
      </c>
      <c r="N39" s="15">
        <f t="shared" si="2"/>
        <v>0</v>
      </c>
      <c r="O39" s="3">
        <v>2</v>
      </c>
      <c r="P39" s="15">
        <f t="shared" si="3"/>
        <v>60</v>
      </c>
      <c r="Q39" s="39">
        <v>5</v>
      </c>
      <c r="R39" s="15">
        <f t="shared" si="4"/>
        <v>10</v>
      </c>
      <c r="S39" s="15">
        <f t="shared" si="5"/>
        <v>300</v>
      </c>
      <c r="T39" s="4">
        <f t="shared" si="6"/>
        <v>10</v>
      </c>
      <c r="U39" s="3">
        <f t="shared" si="7"/>
        <v>300</v>
      </c>
      <c r="V39" s="10"/>
    </row>
    <row r="40" spans="1:22" ht="36" x14ac:dyDescent="0.35">
      <c r="A40" s="8"/>
      <c r="B40" s="27" t="s">
        <v>202</v>
      </c>
      <c r="C40" s="95"/>
      <c r="D40" s="95"/>
      <c r="E40" s="95"/>
      <c r="F40" s="95"/>
      <c r="G40" s="19">
        <v>3</v>
      </c>
      <c r="H40" s="15">
        <v>90</v>
      </c>
      <c r="I40" s="15">
        <v>30</v>
      </c>
      <c r="J40" s="3">
        <v>0.5</v>
      </c>
      <c r="K40" s="15">
        <f t="shared" si="0"/>
        <v>15</v>
      </c>
      <c r="L40" s="9">
        <v>2</v>
      </c>
      <c r="M40" s="15">
        <f t="shared" si="1"/>
        <v>1</v>
      </c>
      <c r="N40" s="15">
        <f t="shared" si="2"/>
        <v>30</v>
      </c>
      <c r="O40" s="3">
        <v>0.5</v>
      </c>
      <c r="P40" s="15">
        <f t="shared" si="3"/>
        <v>15</v>
      </c>
      <c r="Q40" s="39">
        <v>5</v>
      </c>
      <c r="R40" s="15">
        <f t="shared" si="4"/>
        <v>2.5</v>
      </c>
      <c r="S40" s="15">
        <f t="shared" si="5"/>
        <v>75</v>
      </c>
      <c r="T40" s="4">
        <f t="shared" si="6"/>
        <v>3.5</v>
      </c>
      <c r="U40" s="3">
        <f t="shared" si="7"/>
        <v>105</v>
      </c>
      <c r="V40" s="10"/>
    </row>
    <row r="41" spans="1:22" x14ac:dyDescent="0.3">
      <c r="A41" s="7"/>
      <c r="B41" s="27" t="s">
        <v>203</v>
      </c>
      <c r="C41" s="95"/>
      <c r="D41" s="95"/>
      <c r="E41" s="95"/>
      <c r="F41" s="95"/>
      <c r="G41" s="15">
        <v>6</v>
      </c>
      <c r="H41" s="15">
        <v>180</v>
      </c>
      <c r="I41" s="15">
        <v>60</v>
      </c>
      <c r="J41" s="3">
        <v>1</v>
      </c>
      <c r="K41" s="15">
        <f t="shared" si="0"/>
        <v>30</v>
      </c>
      <c r="L41" s="17">
        <v>2</v>
      </c>
      <c r="M41" s="15">
        <f t="shared" si="1"/>
        <v>2</v>
      </c>
      <c r="N41" s="15">
        <f t="shared" si="2"/>
        <v>60</v>
      </c>
      <c r="O41" s="3">
        <v>1</v>
      </c>
      <c r="P41" s="15">
        <f t="shared" si="3"/>
        <v>30</v>
      </c>
      <c r="Q41" s="38">
        <v>5</v>
      </c>
      <c r="R41" s="15">
        <f t="shared" si="4"/>
        <v>5</v>
      </c>
      <c r="S41" s="15">
        <f t="shared" si="5"/>
        <v>150</v>
      </c>
      <c r="T41" s="4">
        <f t="shared" si="6"/>
        <v>7</v>
      </c>
      <c r="U41" s="3">
        <f t="shared" si="7"/>
        <v>210</v>
      </c>
      <c r="V41" s="19"/>
    </row>
    <row r="42" spans="1:22" x14ac:dyDescent="0.3">
      <c r="A42" s="7"/>
      <c r="B42" s="27" t="s">
        <v>204</v>
      </c>
      <c r="C42" s="95"/>
      <c r="D42" s="95"/>
      <c r="E42" s="95"/>
      <c r="F42" s="95"/>
      <c r="G42" s="15">
        <v>3</v>
      </c>
      <c r="H42" s="15">
        <v>90</v>
      </c>
      <c r="I42" s="15">
        <v>30</v>
      </c>
      <c r="J42" s="3">
        <v>0.5</v>
      </c>
      <c r="K42" s="15">
        <f t="shared" si="0"/>
        <v>15</v>
      </c>
      <c r="L42" s="17">
        <v>2</v>
      </c>
      <c r="M42" s="15">
        <f t="shared" si="1"/>
        <v>1</v>
      </c>
      <c r="N42" s="15">
        <f t="shared" si="2"/>
        <v>30</v>
      </c>
      <c r="O42" s="3">
        <v>0.5</v>
      </c>
      <c r="P42" s="15">
        <f t="shared" si="3"/>
        <v>15</v>
      </c>
      <c r="Q42" s="38">
        <v>5</v>
      </c>
      <c r="R42" s="15">
        <f t="shared" si="4"/>
        <v>2.5</v>
      </c>
      <c r="S42" s="15">
        <f t="shared" si="5"/>
        <v>75</v>
      </c>
      <c r="T42" s="4">
        <f t="shared" si="6"/>
        <v>3.5</v>
      </c>
      <c r="U42" s="3">
        <f t="shared" si="7"/>
        <v>105</v>
      </c>
      <c r="V42" s="19"/>
    </row>
    <row r="43" spans="1:22" ht="126" x14ac:dyDescent="0.3">
      <c r="A43" s="7"/>
      <c r="B43" s="27" t="s">
        <v>205</v>
      </c>
      <c r="C43" s="95"/>
      <c r="D43" s="95"/>
      <c r="E43" s="95"/>
      <c r="F43" s="95"/>
      <c r="G43" s="15">
        <v>4</v>
      </c>
      <c r="H43" s="15">
        <v>120</v>
      </c>
      <c r="I43" s="15">
        <v>45</v>
      </c>
      <c r="J43" s="3">
        <v>0</v>
      </c>
      <c r="K43" s="15">
        <f t="shared" si="0"/>
        <v>0</v>
      </c>
      <c r="L43" s="17">
        <v>0</v>
      </c>
      <c r="M43" s="15">
        <f t="shared" si="1"/>
        <v>0</v>
      </c>
      <c r="N43" s="15">
        <f t="shared" si="2"/>
        <v>0</v>
      </c>
      <c r="O43" s="3">
        <v>1.5</v>
      </c>
      <c r="P43" s="15">
        <f t="shared" si="3"/>
        <v>45</v>
      </c>
      <c r="Q43" s="38">
        <v>6</v>
      </c>
      <c r="R43" s="15">
        <f t="shared" si="4"/>
        <v>9</v>
      </c>
      <c r="S43" s="15">
        <f t="shared" si="5"/>
        <v>270</v>
      </c>
      <c r="T43" s="4">
        <f t="shared" si="6"/>
        <v>9</v>
      </c>
      <c r="U43" s="3">
        <f t="shared" si="7"/>
        <v>270</v>
      </c>
      <c r="V43" s="26" t="s">
        <v>409</v>
      </c>
    </row>
  </sheetData>
  <autoFilter ref="A4:V43" xr:uid="{00000000-0009-0000-0000-000003000000}"/>
  <mergeCells count="55">
    <mergeCell ref="F38:F43"/>
    <mergeCell ref="D38:D43"/>
    <mergeCell ref="E38:E43"/>
    <mergeCell ref="C38:C43"/>
    <mergeCell ref="F33:F37"/>
    <mergeCell ref="E33:E37"/>
    <mergeCell ref="D33:D37"/>
    <mergeCell ref="C33:C37"/>
    <mergeCell ref="F28:F32"/>
    <mergeCell ref="E28:E32"/>
    <mergeCell ref="D28:D32"/>
    <mergeCell ref="C28:C32"/>
    <mergeCell ref="F23:F27"/>
    <mergeCell ref="E23:E27"/>
    <mergeCell ref="D23:D27"/>
    <mergeCell ref="C23:C27"/>
    <mergeCell ref="B21:B22"/>
    <mergeCell ref="G21:G22"/>
    <mergeCell ref="F11:F22"/>
    <mergeCell ref="E11:E22"/>
    <mergeCell ref="D11:D22"/>
    <mergeCell ref="B19:B20"/>
    <mergeCell ref="G19:G20"/>
    <mergeCell ref="B15:B16"/>
    <mergeCell ref="G15:G16"/>
    <mergeCell ref="B17:B18"/>
    <mergeCell ref="G17:G18"/>
    <mergeCell ref="B11:B12"/>
    <mergeCell ref="G11:G12"/>
    <mergeCell ref="B13:B14"/>
    <mergeCell ref="G13:G14"/>
    <mergeCell ref="F6:F10"/>
    <mergeCell ref="D6:D10"/>
    <mergeCell ref="E6:E10"/>
    <mergeCell ref="C6:C10"/>
    <mergeCell ref="V2:V4"/>
    <mergeCell ref="H2:H4"/>
    <mergeCell ref="I2:I4"/>
    <mergeCell ref="J2:J4"/>
    <mergeCell ref="K2:K4"/>
    <mergeCell ref="P2:P4"/>
    <mergeCell ref="Q2:Q4"/>
    <mergeCell ref="R2:R4"/>
    <mergeCell ref="O2:O4"/>
    <mergeCell ref="S2:S4"/>
    <mergeCell ref="T2:T4"/>
    <mergeCell ref="U2:U4"/>
    <mergeCell ref="L2:L4"/>
    <mergeCell ref="M2:M4"/>
    <mergeCell ref="N2:N4"/>
    <mergeCell ref="B2:B4"/>
    <mergeCell ref="C2:C4"/>
    <mergeCell ref="D2:E3"/>
    <mergeCell ref="F2:F4"/>
    <mergeCell ref="G2:G4"/>
  </mergeCells>
  <pageMargins left="0.7" right="0.7" top="0.75" bottom="0.75" header="0.3" footer="0.3"/>
  <pageSetup paperSize="9" scale="30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W178"/>
  <sheetViews>
    <sheetView zoomScale="70" zoomScaleNormal="70" workbookViewId="0">
      <pane xSplit="5" ySplit="4" topLeftCell="R92" activePane="bottomRight" state="frozen"/>
      <selection pane="topRight" activeCell="F1" sqref="F1"/>
      <selection pane="bottomLeft" activeCell="A5" sqref="A5"/>
      <selection pane="bottomRight" activeCell="V109" sqref="V109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x14ac:dyDescent="0.3">
      <c r="B5" s="62" t="s">
        <v>210</v>
      </c>
      <c r="C5" s="13" t="s">
        <v>17</v>
      </c>
      <c r="D5" s="64">
        <v>169</v>
      </c>
      <c r="E5" s="64">
        <v>26</v>
      </c>
      <c r="F5" s="64" t="s">
        <v>334</v>
      </c>
      <c r="G5" s="64">
        <v>3</v>
      </c>
      <c r="H5" s="15">
        <v>90</v>
      </c>
      <c r="I5" s="15">
        <v>30</v>
      </c>
      <c r="J5" s="3">
        <v>0.5</v>
      </c>
      <c r="K5" s="15">
        <f>J5*30</f>
        <v>15</v>
      </c>
      <c r="L5" s="17">
        <v>2</v>
      </c>
      <c r="M5" s="15">
        <f>J5*L5</f>
        <v>1</v>
      </c>
      <c r="N5" s="15">
        <f>K5*L5</f>
        <v>30</v>
      </c>
      <c r="O5" s="3">
        <v>0.5</v>
      </c>
      <c r="P5" s="15">
        <f>O5*30</f>
        <v>15</v>
      </c>
      <c r="Q5" s="17">
        <v>6</v>
      </c>
      <c r="R5" s="15">
        <f>O5*Q5</f>
        <v>3</v>
      </c>
      <c r="S5" s="15">
        <f>P5*Q5</f>
        <v>90</v>
      </c>
      <c r="T5" s="4">
        <f>M5+R5</f>
        <v>4</v>
      </c>
      <c r="U5" s="3">
        <f>N5+S5</f>
        <v>120</v>
      </c>
      <c r="V5" s="19"/>
    </row>
    <row r="6" spans="1:22" x14ac:dyDescent="0.3">
      <c r="B6" s="63"/>
      <c r="C6" s="13" t="s">
        <v>18</v>
      </c>
      <c r="D6" s="65"/>
      <c r="E6" s="65"/>
      <c r="F6" s="65"/>
      <c r="G6" s="66"/>
      <c r="H6" s="15">
        <v>90</v>
      </c>
      <c r="I6" s="15">
        <v>30</v>
      </c>
      <c r="J6" s="3">
        <v>0.5</v>
      </c>
      <c r="K6" s="15">
        <f t="shared" ref="K6:K69" si="0">J6*30</f>
        <v>15</v>
      </c>
      <c r="L6" s="17">
        <v>1</v>
      </c>
      <c r="M6" s="15">
        <f t="shared" ref="M6:M69" si="1">J6*L6</f>
        <v>0.5</v>
      </c>
      <c r="N6" s="15">
        <f t="shared" ref="N6:N69" si="2">K6*L6</f>
        <v>15</v>
      </c>
      <c r="O6" s="3">
        <v>0.5</v>
      </c>
      <c r="P6" s="15">
        <f t="shared" ref="P6:P69" si="3">O6*30</f>
        <v>15</v>
      </c>
      <c r="Q6" s="17">
        <v>1</v>
      </c>
      <c r="R6" s="15">
        <f t="shared" ref="R6:R69" si="4">O6*Q6</f>
        <v>0.5</v>
      </c>
      <c r="S6" s="15">
        <f t="shared" ref="S6:S69" si="5">P6*Q6</f>
        <v>15</v>
      </c>
      <c r="T6" s="4">
        <f t="shared" ref="T6:T69" si="6">M6+R6</f>
        <v>1</v>
      </c>
      <c r="U6" s="3">
        <f t="shared" ref="U6:U69" si="7">N6+S6</f>
        <v>30</v>
      </c>
      <c r="V6" s="19"/>
    </row>
    <row r="7" spans="1:22" x14ac:dyDescent="0.3">
      <c r="B7" s="62" t="s">
        <v>155</v>
      </c>
      <c r="C7" s="13" t="s">
        <v>17</v>
      </c>
      <c r="D7" s="65"/>
      <c r="E7" s="65"/>
      <c r="F7" s="65"/>
      <c r="G7" s="64">
        <v>4</v>
      </c>
      <c r="H7" s="15">
        <v>120</v>
      </c>
      <c r="I7" s="15">
        <v>45</v>
      </c>
      <c r="J7" s="3">
        <v>0.5</v>
      </c>
      <c r="K7" s="15">
        <f t="shared" si="0"/>
        <v>15</v>
      </c>
      <c r="L7" s="17">
        <v>2</v>
      </c>
      <c r="M7" s="15">
        <f t="shared" si="1"/>
        <v>1</v>
      </c>
      <c r="N7" s="15">
        <f t="shared" si="2"/>
        <v>30</v>
      </c>
      <c r="O7" s="3">
        <v>1</v>
      </c>
      <c r="P7" s="15">
        <f t="shared" si="3"/>
        <v>30</v>
      </c>
      <c r="Q7" s="17">
        <v>6</v>
      </c>
      <c r="R7" s="15">
        <f t="shared" si="4"/>
        <v>6</v>
      </c>
      <c r="S7" s="15">
        <f t="shared" si="5"/>
        <v>180</v>
      </c>
      <c r="T7" s="4">
        <f t="shared" si="6"/>
        <v>7</v>
      </c>
      <c r="U7" s="3">
        <f t="shared" si="7"/>
        <v>210</v>
      </c>
      <c r="V7" s="19"/>
    </row>
    <row r="8" spans="1:22" x14ac:dyDescent="0.3">
      <c r="B8" s="63"/>
      <c r="C8" s="13" t="s">
        <v>18</v>
      </c>
      <c r="D8" s="66"/>
      <c r="E8" s="66"/>
      <c r="F8" s="66"/>
      <c r="G8" s="66"/>
      <c r="H8" s="15">
        <v>120</v>
      </c>
      <c r="I8" s="15">
        <v>45</v>
      </c>
      <c r="J8" s="3">
        <v>0.5</v>
      </c>
      <c r="K8" s="15">
        <f t="shared" si="0"/>
        <v>15</v>
      </c>
      <c r="L8" s="17">
        <v>1</v>
      </c>
      <c r="M8" s="15">
        <f t="shared" si="1"/>
        <v>0.5</v>
      </c>
      <c r="N8" s="15">
        <f t="shared" si="2"/>
        <v>15</v>
      </c>
      <c r="O8" s="3">
        <v>1</v>
      </c>
      <c r="P8" s="15">
        <f t="shared" si="3"/>
        <v>30</v>
      </c>
      <c r="Q8" s="17">
        <v>1</v>
      </c>
      <c r="R8" s="15">
        <f t="shared" si="4"/>
        <v>1</v>
      </c>
      <c r="S8" s="15">
        <f t="shared" si="5"/>
        <v>30</v>
      </c>
      <c r="T8" s="4">
        <f t="shared" si="6"/>
        <v>1.5</v>
      </c>
      <c r="U8" s="3">
        <f t="shared" si="7"/>
        <v>45</v>
      </c>
      <c r="V8" s="19"/>
    </row>
    <row r="9" spans="1:22" ht="20.55" customHeight="1" x14ac:dyDescent="0.3">
      <c r="B9" s="62" t="s">
        <v>210</v>
      </c>
      <c r="C9" s="13" t="s">
        <v>17</v>
      </c>
      <c r="D9" s="64">
        <v>451</v>
      </c>
      <c r="E9" s="64">
        <v>62</v>
      </c>
      <c r="F9" s="64" t="s">
        <v>315</v>
      </c>
      <c r="G9" s="64">
        <v>3</v>
      </c>
      <c r="H9" s="15">
        <v>90</v>
      </c>
      <c r="I9" s="15">
        <v>30</v>
      </c>
      <c r="J9" s="3">
        <v>0.5</v>
      </c>
      <c r="K9" s="15">
        <f t="shared" si="0"/>
        <v>15</v>
      </c>
      <c r="L9" s="17">
        <v>5</v>
      </c>
      <c r="M9" s="15">
        <f t="shared" si="1"/>
        <v>2.5</v>
      </c>
      <c r="N9" s="15">
        <f t="shared" si="2"/>
        <v>75</v>
      </c>
      <c r="O9" s="3">
        <v>0.5</v>
      </c>
      <c r="P9" s="15">
        <f t="shared" si="3"/>
        <v>15</v>
      </c>
      <c r="Q9" s="17">
        <v>15</v>
      </c>
      <c r="R9" s="15">
        <f t="shared" si="4"/>
        <v>7.5</v>
      </c>
      <c r="S9" s="15">
        <f t="shared" si="5"/>
        <v>225</v>
      </c>
      <c r="T9" s="4">
        <f t="shared" si="6"/>
        <v>10</v>
      </c>
      <c r="U9" s="3">
        <f t="shared" si="7"/>
        <v>300</v>
      </c>
      <c r="V9" s="19"/>
    </row>
    <row r="10" spans="1:22" ht="18.600000000000001" customHeight="1" x14ac:dyDescent="0.3">
      <c r="B10" s="63"/>
      <c r="C10" s="13" t="s">
        <v>18</v>
      </c>
      <c r="D10" s="65"/>
      <c r="E10" s="65"/>
      <c r="F10" s="65"/>
      <c r="G10" s="66"/>
      <c r="H10" s="15">
        <v>90</v>
      </c>
      <c r="I10" s="15">
        <v>30</v>
      </c>
      <c r="J10" s="3">
        <v>0.5</v>
      </c>
      <c r="K10" s="15">
        <f t="shared" si="0"/>
        <v>15</v>
      </c>
      <c r="L10" s="17">
        <v>1</v>
      </c>
      <c r="M10" s="15">
        <f t="shared" si="1"/>
        <v>0.5</v>
      </c>
      <c r="N10" s="15">
        <f t="shared" si="2"/>
        <v>15</v>
      </c>
      <c r="O10" s="3">
        <v>0.5</v>
      </c>
      <c r="P10" s="15">
        <f t="shared" si="3"/>
        <v>15</v>
      </c>
      <c r="Q10" s="17">
        <v>2</v>
      </c>
      <c r="R10" s="15">
        <f t="shared" si="4"/>
        <v>1</v>
      </c>
      <c r="S10" s="15">
        <f t="shared" si="5"/>
        <v>30</v>
      </c>
      <c r="T10" s="4">
        <f t="shared" si="6"/>
        <v>1.5</v>
      </c>
      <c r="U10" s="3">
        <f t="shared" si="7"/>
        <v>45</v>
      </c>
      <c r="V10" s="19"/>
    </row>
    <row r="11" spans="1:22" ht="18" customHeight="1" x14ac:dyDescent="0.3">
      <c r="B11" s="62" t="s">
        <v>155</v>
      </c>
      <c r="C11" s="13" t="s">
        <v>17</v>
      </c>
      <c r="D11" s="65"/>
      <c r="E11" s="65"/>
      <c r="F11" s="65"/>
      <c r="G11" s="64">
        <v>4</v>
      </c>
      <c r="H11" s="15">
        <v>120</v>
      </c>
      <c r="I11" s="15">
        <v>45</v>
      </c>
      <c r="J11" s="3">
        <v>0.5</v>
      </c>
      <c r="K11" s="15">
        <f t="shared" si="0"/>
        <v>15</v>
      </c>
      <c r="L11" s="17">
        <v>5</v>
      </c>
      <c r="M11" s="15">
        <f t="shared" si="1"/>
        <v>2.5</v>
      </c>
      <c r="N11" s="15">
        <f t="shared" si="2"/>
        <v>75</v>
      </c>
      <c r="O11" s="3">
        <v>1</v>
      </c>
      <c r="P11" s="15">
        <f t="shared" si="3"/>
        <v>30</v>
      </c>
      <c r="Q11" s="17">
        <v>15</v>
      </c>
      <c r="R11" s="15">
        <f t="shared" si="4"/>
        <v>15</v>
      </c>
      <c r="S11" s="15">
        <f t="shared" si="5"/>
        <v>450</v>
      </c>
      <c r="T11" s="4">
        <f t="shared" si="6"/>
        <v>17.5</v>
      </c>
      <c r="U11" s="3">
        <f t="shared" si="7"/>
        <v>525</v>
      </c>
      <c r="V11" s="19"/>
    </row>
    <row r="12" spans="1:22" x14ac:dyDescent="0.3">
      <c r="B12" s="63"/>
      <c r="C12" s="13" t="s">
        <v>18</v>
      </c>
      <c r="D12" s="66"/>
      <c r="E12" s="66"/>
      <c r="F12" s="66"/>
      <c r="G12" s="66"/>
      <c r="H12" s="15">
        <v>120</v>
      </c>
      <c r="I12" s="15">
        <v>45</v>
      </c>
      <c r="J12" s="3">
        <v>0.5</v>
      </c>
      <c r="K12" s="15">
        <f t="shared" si="0"/>
        <v>15</v>
      </c>
      <c r="L12" s="17">
        <v>1</v>
      </c>
      <c r="M12" s="15">
        <f t="shared" si="1"/>
        <v>0.5</v>
      </c>
      <c r="N12" s="15">
        <f t="shared" si="2"/>
        <v>15</v>
      </c>
      <c r="O12" s="3">
        <v>1</v>
      </c>
      <c r="P12" s="15">
        <f t="shared" si="3"/>
        <v>30</v>
      </c>
      <c r="Q12" s="17">
        <v>2</v>
      </c>
      <c r="R12" s="15">
        <f t="shared" si="4"/>
        <v>2</v>
      </c>
      <c r="S12" s="15">
        <f t="shared" si="5"/>
        <v>60</v>
      </c>
      <c r="T12" s="4">
        <f t="shared" si="6"/>
        <v>2.5</v>
      </c>
      <c r="U12" s="3">
        <f t="shared" si="7"/>
        <v>75</v>
      </c>
      <c r="V12" s="19"/>
    </row>
    <row r="13" spans="1:22" x14ac:dyDescent="0.35">
      <c r="A13" s="8"/>
      <c r="B13" s="62" t="s">
        <v>210</v>
      </c>
      <c r="C13" s="13" t="s">
        <v>17</v>
      </c>
      <c r="D13" s="64">
        <v>250</v>
      </c>
      <c r="E13" s="64">
        <v>176</v>
      </c>
      <c r="F13" s="64" t="s">
        <v>367</v>
      </c>
      <c r="G13" s="87">
        <v>3</v>
      </c>
      <c r="H13" s="15">
        <v>90</v>
      </c>
      <c r="I13" s="15">
        <v>30</v>
      </c>
      <c r="J13" s="3">
        <v>0.5</v>
      </c>
      <c r="K13" s="15">
        <f t="shared" si="0"/>
        <v>15</v>
      </c>
      <c r="L13" s="9">
        <v>3</v>
      </c>
      <c r="M13" s="15">
        <f t="shared" si="1"/>
        <v>1.5</v>
      </c>
      <c r="N13" s="15">
        <f t="shared" si="2"/>
        <v>45</v>
      </c>
      <c r="O13" s="3">
        <v>0.5</v>
      </c>
      <c r="P13" s="15">
        <f t="shared" si="3"/>
        <v>15</v>
      </c>
      <c r="Q13" s="9">
        <v>9</v>
      </c>
      <c r="R13" s="15">
        <f t="shared" si="4"/>
        <v>4.5</v>
      </c>
      <c r="S13" s="15">
        <f t="shared" si="5"/>
        <v>135</v>
      </c>
      <c r="T13" s="4">
        <f t="shared" si="6"/>
        <v>6</v>
      </c>
      <c r="U13" s="3">
        <f t="shared" si="7"/>
        <v>180</v>
      </c>
      <c r="V13" s="10"/>
    </row>
    <row r="14" spans="1:22" x14ac:dyDescent="0.35">
      <c r="A14" s="8"/>
      <c r="B14" s="63"/>
      <c r="C14" s="13" t="s">
        <v>18</v>
      </c>
      <c r="D14" s="65"/>
      <c r="E14" s="65"/>
      <c r="F14" s="65"/>
      <c r="G14" s="88"/>
      <c r="H14" s="15">
        <v>90</v>
      </c>
      <c r="I14" s="15">
        <v>30</v>
      </c>
      <c r="J14" s="3">
        <v>0.5</v>
      </c>
      <c r="K14" s="15">
        <f t="shared" si="0"/>
        <v>15</v>
      </c>
      <c r="L14" s="9">
        <v>2</v>
      </c>
      <c r="M14" s="15">
        <f t="shared" si="1"/>
        <v>1</v>
      </c>
      <c r="N14" s="15">
        <f t="shared" si="2"/>
        <v>30</v>
      </c>
      <c r="O14" s="3">
        <v>0.5</v>
      </c>
      <c r="P14" s="15">
        <f t="shared" si="3"/>
        <v>15</v>
      </c>
      <c r="Q14" s="9">
        <v>6</v>
      </c>
      <c r="R14" s="15">
        <f t="shared" si="4"/>
        <v>3</v>
      </c>
      <c r="S14" s="15">
        <f t="shared" si="5"/>
        <v>90</v>
      </c>
      <c r="T14" s="4">
        <f t="shared" si="6"/>
        <v>4</v>
      </c>
      <c r="U14" s="3">
        <f t="shared" si="7"/>
        <v>120</v>
      </c>
      <c r="V14" s="20"/>
    </row>
    <row r="15" spans="1:22" x14ac:dyDescent="0.35">
      <c r="A15" s="8"/>
      <c r="B15" s="62" t="s">
        <v>155</v>
      </c>
      <c r="C15" s="13" t="s">
        <v>17</v>
      </c>
      <c r="D15" s="65"/>
      <c r="E15" s="65"/>
      <c r="F15" s="65"/>
      <c r="G15" s="87">
        <v>4</v>
      </c>
      <c r="H15" s="15">
        <v>120</v>
      </c>
      <c r="I15" s="15">
        <v>45</v>
      </c>
      <c r="J15" s="3">
        <v>0.5</v>
      </c>
      <c r="K15" s="15">
        <f t="shared" si="0"/>
        <v>15</v>
      </c>
      <c r="L15" s="9">
        <v>3</v>
      </c>
      <c r="M15" s="15">
        <f t="shared" si="1"/>
        <v>1.5</v>
      </c>
      <c r="N15" s="15">
        <f t="shared" si="2"/>
        <v>45</v>
      </c>
      <c r="O15" s="3">
        <v>1</v>
      </c>
      <c r="P15" s="15">
        <f t="shared" si="3"/>
        <v>30</v>
      </c>
      <c r="Q15" s="9">
        <v>9</v>
      </c>
      <c r="R15" s="15">
        <f t="shared" si="4"/>
        <v>9</v>
      </c>
      <c r="S15" s="15">
        <f t="shared" si="5"/>
        <v>270</v>
      </c>
      <c r="T15" s="4">
        <f t="shared" si="6"/>
        <v>10.5</v>
      </c>
      <c r="U15" s="3">
        <f t="shared" si="7"/>
        <v>315</v>
      </c>
      <c r="V15" s="10"/>
    </row>
    <row r="16" spans="1:22" x14ac:dyDescent="0.35">
      <c r="A16" s="8"/>
      <c r="B16" s="63"/>
      <c r="C16" s="13" t="s">
        <v>18</v>
      </c>
      <c r="D16" s="66"/>
      <c r="E16" s="66"/>
      <c r="F16" s="66"/>
      <c r="G16" s="88"/>
      <c r="H16" s="15">
        <v>120</v>
      </c>
      <c r="I16" s="15">
        <v>45</v>
      </c>
      <c r="J16" s="3">
        <v>0.5</v>
      </c>
      <c r="K16" s="15">
        <f t="shared" si="0"/>
        <v>15</v>
      </c>
      <c r="L16" s="9">
        <v>2</v>
      </c>
      <c r="M16" s="15">
        <f t="shared" si="1"/>
        <v>1</v>
      </c>
      <c r="N16" s="15">
        <f t="shared" si="2"/>
        <v>30</v>
      </c>
      <c r="O16" s="3">
        <v>1</v>
      </c>
      <c r="P16" s="15">
        <f t="shared" si="3"/>
        <v>30</v>
      </c>
      <c r="Q16" s="9">
        <v>6</v>
      </c>
      <c r="R16" s="15">
        <f t="shared" si="4"/>
        <v>6</v>
      </c>
      <c r="S16" s="15">
        <f t="shared" si="5"/>
        <v>180</v>
      </c>
      <c r="T16" s="4">
        <f t="shared" si="6"/>
        <v>7</v>
      </c>
      <c r="U16" s="3">
        <f t="shared" si="7"/>
        <v>210</v>
      </c>
      <c r="V16" s="20"/>
    </row>
    <row r="17" spans="1:22" x14ac:dyDescent="0.3">
      <c r="A17" s="7"/>
      <c r="B17" s="62" t="s">
        <v>207</v>
      </c>
      <c r="C17" s="13" t="s">
        <v>17</v>
      </c>
      <c r="D17" s="64">
        <v>33</v>
      </c>
      <c r="E17" s="64">
        <v>26</v>
      </c>
      <c r="F17" s="64" t="s">
        <v>20</v>
      </c>
      <c r="G17" s="64">
        <v>4</v>
      </c>
      <c r="H17" s="15">
        <v>120</v>
      </c>
      <c r="I17" s="15">
        <v>45</v>
      </c>
      <c r="J17" s="3">
        <v>0.5</v>
      </c>
      <c r="K17" s="15">
        <f t="shared" si="0"/>
        <v>15</v>
      </c>
      <c r="L17" s="17">
        <v>1</v>
      </c>
      <c r="M17" s="15">
        <f t="shared" si="1"/>
        <v>0.5</v>
      </c>
      <c r="N17" s="15">
        <f t="shared" si="2"/>
        <v>15</v>
      </c>
      <c r="O17" s="3">
        <v>1</v>
      </c>
      <c r="P17" s="15">
        <f t="shared" si="3"/>
        <v>30</v>
      </c>
      <c r="Q17" s="17">
        <v>1</v>
      </c>
      <c r="R17" s="15">
        <f t="shared" si="4"/>
        <v>1</v>
      </c>
      <c r="S17" s="15">
        <f t="shared" si="5"/>
        <v>30</v>
      </c>
      <c r="T17" s="4">
        <f t="shared" si="6"/>
        <v>1.5</v>
      </c>
      <c r="U17" s="3">
        <f t="shared" si="7"/>
        <v>45</v>
      </c>
      <c r="V17" s="19"/>
    </row>
    <row r="18" spans="1:22" x14ac:dyDescent="0.3">
      <c r="A18" s="7"/>
      <c r="B18" s="63"/>
      <c r="C18" s="13" t="s">
        <v>18</v>
      </c>
      <c r="D18" s="65"/>
      <c r="E18" s="65"/>
      <c r="F18" s="65"/>
      <c r="G18" s="66"/>
      <c r="H18" s="15">
        <v>120</v>
      </c>
      <c r="I18" s="15">
        <v>45</v>
      </c>
      <c r="J18" s="3">
        <v>0.5</v>
      </c>
      <c r="K18" s="15">
        <f t="shared" si="0"/>
        <v>15</v>
      </c>
      <c r="L18" s="17">
        <v>1</v>
      </c>
      <c r="M18" s="15">
        <f t="shared" si="1"/>
        <v>0.5</v>
      </c>
      <c r="N18" s="15">
        <f t="shared" si="2"/>
        <v>15</v>
      </c>
      <c r="O18" s="3">
        <v>1</v>
      </c>
      <c r="P18" s="15">
        <f t="shared" si="3"/>
        <v>30</v>
      </c>
      <c r="Q18" s="17">
        <v>1</v>
      </c>
      <c r="R18" s="15">
        <f t="shared" si="4"/>
        <v>1</v>
      </c>
      <c r="S18" s="15">
        <f t="shared" si="5"/>
        <v>30</v>
      </c>
      <c r="T18" s="4">
        <f t="shared" si="6"/>
        <v>1.5</v>
      </c>
      <c r="U18" s="3">
        <f t="shared" si="7"/>
        <v>45</v>
      </c>
      <c r="V18" s="19"/>
    </row>
    <row r="19" spans="1:22" x14ac:dyDescent="0.3">
      <c r="A19" s="7"/>
      <c r="B19" s="62" t="s">
        <v>32</v>
      </c>
      <c r="C19" s="13" t="s">
        <v>17</v>
      </c>
      <c r="D19" s="65"/>
      <c r="E19" s="65"/>
      <c r="F19" s="65"/>
      <c r="G19" s="64">
        <v>4</v>
      </c>
      <c r="H19" s="15">
        <v>120</v>
      </c>
      <c r="I19" s="15">
        <v>45</v>
      </c>
      <c r="J19" s="3">
        <v>0.5</v>
      </c>
      <c r="K19" s="15">
        <f t="shared" si="0"/>
        <v>15</v>
      </c>
      <c r="L19" s="17">
        <v>1</v>
      </c>
      <c r="M19" s="15">
        <f t="shared" si="1"/>
        <v>0.5</v>
      </c>
      <c r="N19" s="15">
        <f t="shared" si="2"/>
        <v>15</v>
      </c>
      <c r="O19" s="3">
        <v>1</v>
      </c>
      <c r="P19" s="15">
        <f t="shared" si="3"/>
        <v>30</v>
      </c>
      <c r="Q19" s="17">
        <v>1</v>
      </c>
      <c r="R19" s="15">
        <f t="shared" si="4"/>
        <v>1</v>
      </c>
      <c r="S19" s="15">
        <f t="shared" si="5"/>
        <v>30</v>
      </c>
      <c r="T19" s="4">
        <f t="shared" si="6"/>
        <v>1.5</v>
      </c>
      <c r="U19" s="3">
        <f t="shared" si="7"/>
        <v>45</v>
      </c>
      <c r="V19" s="19"/>
    </row>
    <row r="20" spans="1:22" x14ac:dyDescent="0.3">
      <c r="A20" s="7"/>
      <c r="B20" s="63"/>
      <c r="C20" s="13" t="s">
        <v>18</v>
      </c>
      <c r="D20" s="65"/>
      <c r="E20" s="65"/>
      <c r="F20" s="65"/>
      <c r="G20" s="66"/>
      <c r="H20" s="15">
        <v>120</v>
      </c>
      <c r="I20" s="15">
        <v>45</v>
      </c>
      <c r="J20" s="3">
        <v>0.5</v>
      </c>
      <c r="K20" s="15">
        <f t="shared" si="0"/>
        <v>15</v>
      </c>
      <c r="L20" s="17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17">
        <v>1</v>
      </c>
      <c r="R20" s="15">
        <f t="shared" si="4"/>
        <v>1</v>
      </c>
      <c r="S20" s="15">
        <f t="shared" si="5"/>
        <v>30</v>
      </c>
      <c r="T20" s="4">
        <f t="shared" si="6"/>
        <v>1.5</v>
      </c>
      <c r="U20" s="3">
        <f t="shared" si="7"/>
        <v>45</v>
      </c>
      <c r="V20" s="19"/>
    </row>
    <row r="21" spans="1:22" x14ac:dyDescent="0.3">
      <c r="A21" s="7"/>
      <c r="B21" s="62" t="s">
        <v>31</v>
      </c>
      <c r="C21" s="13" t="s">
        <v>17</v>
      </c>
      <c r="D21" s="65"/>
      <c r="E21" s="65"/>
      <c r="F21" s="65"/>
      <c r="G21" s="64">
        <v>5</v>
      </c>
      <c r="H21" s="15">
        <v>150</v>
      </c>
      <c r="I21" s="15">
        <v>45</v>
      </c>
      <c r="J21" s="3">
        <v>0.5</v>
      </c>
      <c r="K21" s="15">
        <f t="shared" si="0"/>
        <v>15</v>
      </c>
      <c r="L21" s="17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17">
        <v>1</v>
      </c>
      <c r="R21" s="15">
        <f t="shared" si="4"/>
        <v>1</v>
      </c>
      <c r="S21" s="15">
        <f t="shared" si="5"/>
        <v>30</v>
      </c>
      <c r="T21" s="4">
        <f t="shared" si="6"/>
        <v>1.5</v>
      </c>
      <c r="U21" s="3">
        <f t="shared" si="7"/>
        <v>45</v>
      </c>
      <c r="V21" s="19"/>
    </row>
    <row r="22" spans="1:22" x14ac:dyDescent="0.3">
      <c r="A22" s="7"/>
      <c r="B22" s="63"/>
      <c r="C22" s="13" t="s">
        <v>18</v>
      </c>
      <c r="D22" s="65"/>
      <c r="E22" s="65"/>
      <c r="F22" s="65"/>
      <c r="G22" s="66"/>
      <c r="H22" s="15">
        <v>150</v>
      </c>
      <c r="I22" s="15">
        <v>45</v>
      </c>
      <c r="J22" s="3">
        <v>0.5</v>
      </c>
      <c r="K22" s="15">
        <f t="shared" si="0"/>
        <v>15</v>
      </c>
      <c r="L22" s="17">
        <v>1</v>
      </c>
      <c r="M22" s="15">
        <f t="shared" si="1"/>
        <v>0.5</v>
      </c>
      <c r="N22" s="15">
        <f t="shared" si="2"/>
        <v>15</v>
      </c>
      <c r="O22" s="3">
        <v>1</v>
      </c>
      <c r="P22" s="15">
        <f t="shared" si="3"/>
        <v>30</v>
      </c>
      <c r="Q22" s="17">
        <v>1</v>
      </c>
      <c r="R22" s="15">
        <f t="shared" si="4"/>
        <v>1</v>
      </c>
      <c r="S22" s="15">
        <f t="shared" si="5"/>
        <v>30</v>
      </c>
      <c r="T22" s="4">
        <f t="shared" si="6"/>
        <v>1.5</v>
      </c>
      <c r="U22" s="3">
        <f t="shared" si="7"/>
        <v>45</v>
      </c>
      <c r="V22" s="19"/>
    </row>
    <row r="23" spans="1:22" x14ac:dyDescent="0.3">
      <c r="A23" s="7"/>
      <c r="B23" s="62" t="s">
        <v>208</v>
      </c>
      <c r="C23" s="13" t="s">
        <v>17</v>
      </c>
      <c r="D23" s="65"/>
      <c r="E23" s="65"/>
      <c r="F23" s="65"/>
      <c r="G23" s="64">
        <v>5</v>
      </c>
      <c r="H23" s="15">
        <v>150</v>
      </c>
      <c r="I23" s="15">
        <v>45</v>
      </c>
      <c r="J23" s="3">
        <v>0.5</v>
      </c>
      <c r="K23" s="15">
        <f t="shared" si="0"/>
        <v>15</v>
      </c>
      <c r="L23" s="17">
        <v>1</v>
      </c>
      <c r="M23" s="15">
        <f t="shared" si="1"/>
        <v>0.5</v>
      </c>
      <c r="N23" s="15">
        <f t="shared" si="2"/>
        <v>15</v>
      </c>
      <c r="O23" s="3">
        <v>1</v>
      </c>
      <c r="P23" s="15">
        <f t="shared" si="3"/>
        <v>30</v>
      </c>
      <c r="Q23" s="17">
        <v>1</v>
      </c>
      <c r="R23" s="15">
        <f t="shared" si="4"/>
        <v>1</v>
      </c>
      <c r="S23" s="15">
        <f t="shared" si="5"/>
        <v>30</v>
      </c>
      <c r="T23" s="4">
        <f t="shared" si="6"/>
        <v>1.5</v>
      </c>
      <c r="U23" s="3">
        <f t="shared" si="7"/>
        <v>45</v>
      </c>
      <c r="V23" s="19"/>
    </row>
    <row r="24" spans="1:22" x14ac:dyDescent="0.3">
      <c r="A24" s="7"/>
      <c r="B24" s="63"/>
      <c r="C24" s="13" t="s">
        <v>18</v>
      </c>
      <c r="D24" s="65"/>
      <c r="E24" s="65"/>
      <c r="F24" s="65"/>
      <c r="G24" s="66"/>
      <c r="H24" s="15">
        <v>150</v>
      </c>
      <c r="I24" s="15">
        <v>45</v>
      </c>
      <c r="J24" s="3">
        <v>0.5</v>
      </c>
      <c r="K24" s="15">
        <f t="shared" si="0"/>
        <v>15</v>
      </c>
      <c r="L24" s="17">
        <v>1</v>
      </c>
      <c r="M24" s="15">
        <f t="shared" si="1"/>
        <v>0.5</v>
      </c>
      <c r="N24" s="15">
        <f t="shared" si="2"/>
        <v>15</v>
      </c>
      <c r="O24" s="3">
        <v>1</v>
      </c>
      <c r="P24" s="15">
        <f t="shared" si="3"/>
        <v>30</v>
      </c>
      <c r="Q24" s="17">
        <v>1</v>
      </c>
      <c r="R24" s="15">
        <f t="shared" si="4"/>
        <v>1</v>
      </c>
      <c r="S24" s="15">
        <f t="shared" si="5"/>
        <v>30</v>
      </c>
      <c r="T24" s="4">
        <f t="shared" si="6"/>
        <v>1.5</v>
      </c>
      <c r="U24" s="3">
        <f t="shared" si="7"/>
        <v>45</v>
      </c>
      <c r="V24" s="19"/>
    </row>
    <row r="25" spans="1:22" x14ac:dyDescent="0.3">
      <c r="A25" s="7"/>
      <c r="B25" s="62" t="s">
        <v>209</v>
      </c>
      <c r="C25" s="13" t="s">
        <v>17</v>
      </c>
      <c r="D25" s="65"/>
      <c r="E25" s="65"/>
      <c r="F25" s="65"/>
      <c r="G25" s="64">
        <v>5</v>
      </c>
      <c r="H25" s="15">
        <v>150</v>
      </c>
      <c r="I25" s="15">
        <v>45</v>
      </c>
      <c r="J25" s="3">
        <v>0.5</v>
      </c>
      <c r="K25" s="15">
        <f t="shared" si="0"/>
        <v>15</v>
      </c>
      <c r="L25" s="17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17">
        <v>1</v>
      </c>
      <c r="R25" s="15">
        <f t="shared" si="4"/>
        <v>1</v>
      </c>
      <c r="S25" s="15">
        <f t="shared" si="5"/>
        <v>30</v>
      </c>
      <c r="T25" s="4">
        <f t="shared" si="6"/>
        <v>1.5</v>
      </c>
      <c r="U25" s="3">
        <f t="shared" si="7"/>
        <v>45</v>
      </c>
      <c r="V25" s="19"/>
    </row>
    <row r="26" spans="1:22" x14ac:dyDescent="0.3">
      <c r="A26" s="7"/>
      <c r="B26" s="63"/>
      <c r="C26" s="13" t="s">
        <v>18</v>
      </c>
      <c r="D26" s="66"/>
      <c r="E26" s="66"/>
      <c r="F26" s="66"/>
      <c r="G26" s="66"/>
      <c r="H26" s="15">
        <v>150</v>
      </c>
      <c r="I26" s="15">
        <v>45</v>
      </c>
      <c r="J26" s="3">
        <v>0.5</v>
      </c>
      <c r="K26" s="15">
        <f t="shared" si="0"/>
        <v>15</v>
      </c>
      <c r="L26" s="17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17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9"/>
    </row>
    <row r="27" spans="1:22" ht="55.2" customHeight="1" x14ac:dyDescent="0.3">
      <c r="A27" s="7"/>
      <c r="B27" s="14" t="s">
        <v>216</v>
      </c>
      <c r="C27" s="64" t="s">
        <v>17</v>
      </c>
      <c r="D27" s="64">
        <v>19</v>
      </c>
      <c r="E27" s="64"/>
      <c r="F27" s="64" t="s">
        <v>156</v>
      </c>
      <c r="G27" s="12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17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17">
        <v>1</v>
      </c>
      <c r="R27" s="15">
        <f t="shared" si="4"/>
        <v>1</v>
      </c>
      <c r="S27" s="15">
        <f t="shared" si="5"/>
        <v>30</v>
      </c>
      <c r="T27" s="4">
        <f t="shared" si="6"/>
        <v>1.5</v>
      </c>
      <c r="U27" s="3">
        <f t="shared" si="7"/>
        <v>45</v>
      </c>
      <c r="V27" s="19"/>
    </row>
    <row r="28" spans="1:22" ht="38.549999999999997" customHeight="1" x14ac:dyDescent="0.3">
      <c r="A28" s="7"/>
      <c r="B28" s="37" t="s">
        <v>153</v>
      </c>
      <c r="C28" s="65"/>
      <c r="D28" s="65"/>
      <c r="E28" s="65"/>
      <c r="F28" s="65"/>
      <c r="G28" s="12">
        <v>4</v>
      </c>
      <c r="H28" s="15">
        <v>120</v>
      </c>
      <c r="I28" s="15">
        <v>45</v>
      </c>
      <c r="J28" s="3">
        <v>0.5</v>
      </c>
      <c r="K28" s="15">
        <f t="shared" si="0"/>
        <v>15</v>
      </c>
      <c r="L28" s="17">
        <v>1</v>
      </c>
      <c r="M28" s="15">
        <f t="shared" si="1"/>
        <v>0.5</v>
      </c>
      <c r="N28" s="15">
        <f t="shared" si="2"/>
        <v>15</v>
      </c>
      <c r="O28" s="3">
        <v>1</v>
      </c>
      <c r="P28" s="15">
        <f t="shared" si="3"/>
        <v>30</v>
      </c>
      <c r="Q28" s="17">
        <v>1</v>
      </c>
      <c r="R28" s="15">
        <f t="shared" si="4"/>
        <v>1</v>
      </c>
      <c r="S28" s="15">
        <f t="shared" si="5"/>
        <v>30</v>
      </c>
      <c r="T28" s="4">
        <f t="shared" si="6"/>
        <v>1.5</v>
      </c>
      <c r="U28" s="3">
        <f t="shared" si="7"/>
        <v>45</v>
      </c>
      <c r="V28" s="29" t="s">
        <v>575</v>
      </c>
    </row>
    <row r="29" spans="1:22" ht="39.6" customHeight="1" x14ac:dyDescent="0.3">
      <c r="A29" s="7"/>
      <c r="B29" s="14" t="s">
        <v>217</v>
      </c>
      <c r="C29" s="65"/>
      <c r="D29" s="65"/>
      <c r="E29" s="65"/>
      <c r="F29" s="65"/>
      <c r="G29" s="12">
        <v>5</v>
      </c>
      <c r="H29" s="15">
        <v>150</v>
      </c>
      <c r="I29" s="15">
        <v>45</v>
      </c>
      <c r="J29" s="3">
        <v>0.5</v>
      </c>
      <c r="K29" s="15">
        <f t="shared" si="0"/>
        <v>15</v>
      </c>
      <c r="L29" s="17">
        <v>1</v>
      </c>
      <c r="M29" s="15">
        <f t="shared" si="1"/>
        <v>0.5</v>
      </c>
      <c r="N29" s="15">
        <f t="shared" si="2"/>
        <v>15</v>
      </c>
      <c r="O29" s="3">
        <v>1</v>
      </c>
      <c r="P29" s="15">
        <f t="shared" si="3"/>
        <v>30</v>
      </c>
      <c r="Q29" s="17">
        <v>1</v>
      </c>
      <c r="R29" s="15">
        <f t="shared" si="4"/>
        <v>1</v>
      </c>
      <c r="S29" s="15">
        <f t="shared" si="5"/>
        <v>30</v>
      </c>
      <c r="T29" s="4">
        <f t="shared" si="6"/>
        <v>1.5</v>
      </c>
      <c r="U29" s="3">
        <f t="shared" si="7"/>
        <v>45</v>
      </c>
      <c r="V29" s="19"/>
    </row>
    <row r="30" spans="1:22" ht="36" x14ac:dyDescent="0.3">
      <c r="B30" s="37" t="s">
        <v>154</v>
      </c>
      <c r="C30" s="65"/>
      <c r="D30" s="65"/>
      <c r="E30" s="65"/>
      <c r="F30" s="65"/>
      <c r="G30" s="12">
        <v>4</v>
      </c>
      <c r="H30" s="15">
        <v>120</v>
      </c>
      <c r="I30" s="15">
        <v>45</v>
      </c>
      <c r="J30" s="3">
        <v>0.5</v>
      </c>
      <c r="K30" s="15">
        <f t="shared" si="0"/>
        <v>15</v>
      </c>
      <c r="L30" s="17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17">
        <v>1</v>
      </c>
      <c r="R30" s="15">
        <f t="shared" si="4"/>
        <v>1</v>
      </c>
      <c r="S30" s="15">
        <f t="shared" si="5"/>
        <v>30</v>
      </c>
      <c r="T30" s="4">
        <f t="shared" si="6"/>
        <v>1.5</v>
      </c>
      <c r="U30" s="3">
        <f t="shared" si="7"/>
        <v>45</v>
      </c>
      <c r="V30" s="29" t="s">
        <v>575</v>
      </c>
    </row>
    <row r="31" spans="1:22" ht="34.950000000000003" customHeight="1" x14ac:dyDescent="0.3">
      <c r="B31" s="14" t="s">
        <v>218</v>
      </c>
      <c r="C31" s="66"/>
      <c r="D31" s="65"/>
      <c r="E31" s="65"/>
      <c r="F31" s="65"/>
      <c r="G31" s="12">
        <v>5</v>
      </c>
      <c r="H31" s="15">
        <v>150</v>
      </c>
      <c r="I31" s="15">
        <v>45</v>
      </c>
      <c r="J31" s="3">
        <v>0.5</v>
      </c>
      <c r="K31" s="15">
        <f t="shared" si="0"/>
        <v>15</v>
      </c>
      <c r="L31" s="17">
        <v>1</v>
      </c>
      <c r="M31" s="15">
        <f t="shared" si="1"/>
        <v>0.5</v>
      </c>
      <c r="N31" s="15">
        <f t="shared" si="2"/>
        <v>15</v>
      </c>
      <c r="O31" s="3">
        <v>1</v>
      </c>
      <c r="P31" s="15">
        <f t="shared" si="3"/>
        <v>30</v>
      </c>
      <c r="Q31" s="17">
        <v>1</v>
      </c>
      <c r="R31" s="15">
        <f t="shared" si="4"/>
        <v>1</v>
      </c>
      <c r="S31" s="15">
        <f t="shared" si="5"/>
        <v>30</v>
      </c>
      <c r="T31" s="4">
        <f t="shared" si="6"/>
        <v>1.5</v>
      </c>
      <c r="U31" s="3">
        <f t="shared" si="7"/>
        <v>45</v>
      </c>
      <c r="V31" s="19"/>
    </row>
    <row r="32" spans="1:22" x14ac:dyDescent="0.3">
      <c r="B32" s="62" t="s">
        <v>221</v>
      </c>
      <c r="C32" s="13" t="s">
        <v>17</v>
      </c>
      <c r="D32" s="64">
        <v>125</v>
      </c>
      <c r="E32" s="64">
        <v>76</v>
      </c>
      <c r="F32" s="64" t="s">
        <v>569</v>
      </c>
      <c r="G32" s="64">
        <v>3</v>
      </c>
      <c r="H32" s="15">
        <v>90</v>
      </c>
      <c r="I32" s="15">
        <v>30</v>
      </c>
      <c r="J32" s="3">
        <v>0.5</v>
      </c>
      <c r="K32" s="15">
        <f t="shared" si="0"/>
        <v>15</v>
      </c>
      <c r="L32" s="17">
        <v>2</v>
      </c>
      <c r="M32" s="15">
        <f t="shared" si="1"/>
        <v>1</v>
      </c>
      <c r="N32" s="15">
        <f t="shared" si="2"/>
        <v>30</v>
      </c>
      <c r="O32" s="3">
        <v>0.5</v>
      </c>
      <c r="P32" s="15">
        <f t="shared" si="3"/>
        <v>15</v>
      </c>
      <c r="Q32" s="17">
        <v>5</v>
      </c>
      <c r="R32" s="15">
        <f t="shared" si="4"/>
        <v>2.5</v>
      </c>
      <c r="S32" s="15">
        <f t="shared" si="5"/>
        <v>75</v>
      </c>
      <c r="T32" s="4">
        <f t="shared" si="6"/>
        <v>3.5</v>
      </c>
      <c r="U32" s="3">
        <f t="shared" si="7"/>
        <v>105</v>
      </c>
      <c r="V32" s="19"/>
    </row>
    <row r="33" spans="1:22" x14ac:dyDescent="0.3">
      <c r="B33" s="63"/>
      <c r="C33" s="13" t="s">
        <v>18</v>
      </c>
      <c r="D33" s="66"/>
      <c r="E33" s="66"/>
      <c r="F33" s="65"/>
      <c r="G33" s="66"/>
      <c r="H33" s="15">
        <v>90</v>
      </c>
      <c r="I33" s="15">
        <v>30</v>
      </c>
      <c r="J33" s="3">
        <v>0.5</v>
      </c>
      <c r="K33" s="15">
        <f t="shared" si="0"/>
        <v>15</v>
      </c>
      <c r="L33" s="17">
        <v>1</v>
      </c>
      <c r="M33" s="15">
        <f t="shared" si="1"/>
        <v>0.5</v>
      </c>
      <c r="N33" s="15">
        <f t="shared" si="2"/>
        <v>15</v>
      </c>
      <c r="O33" s="3">
        <v>0.5</v>
      </c>
      <c r="P33" s="15">
        <f t="shared" si="3"/>
        <v>15</v>
      </c>
      <c r="Q33" s="17">
        <v>3</v>
      </c>
      <c r="R33" s="15">
        <f t="shared" si="4"/>
        <v>1.5</v>
      </c>
      <c r="S33" s="15">
        <f t="shared" si="5"/>
        <v>45</v>
      </c>
      <c r="T33" s="4">
        <f t="shared" si="6"/>
        <v>2</v>
      </c>
      <c r="U33" s="3">
        <f t="shared" si="7"/>
        <v>60</v>
      </c>
      <c r="V33" s="19"/>
    </row>
    <row r="34" spans="1:22" x14ac:dyDescent="0.3">
      <c r="B34" s="14" t="s">
        <v>83</v>
      </c>
      <c r="C34" s="64" t="s">
        <v>17</v>
      </c>
      <c r="D34" s="64">
        <v>14</v>
      </c>
      <c r="E34" s="64"/>
      <c r="F34" s="95" t="s">
        <v>226</v>
      </c>
      <c r="G34" s="12">
        <v>4</v>
      </c>
      <c r="H34" s="15">
        <v>120</v>
      </c>
      <c r="I34" s="15">
        <v>45</v>
      </c>
      <c r="J34" s="3">
        <v>0.5</v>
      </c>
      <c r="K34" s="15">
        <f t="shared" si="0"/>
        <v>15</v>
      </c>
      <c r="L34" s="17">
        <v>1</v>
      </c>
      <c r="M34" s="15">
        <f t="shared" si="1"/>
        <v>0.5</v>
      </c>
      <c r="N34" s="15">
        <f t="shared" si="2"/>
        <v>15</v>
      </c>
      <c r="O34" s="3">
        <v>1</v>
      </c>
      <c r="P34" s="15">
        <f t="shared" si="3"/>
        <v>30</v>
      </c>
      <c r="Q34" s="17">
        <v>1</v>
      </c>
      <c r="R34" s="15">
        <f t="shared" si="4"/>
        <v>1</v>
      </c>
      <c r="S34" s="15">
        <f t="shared" si="5"/>
        <v>30</v>
      </c>
      <c r="T34" s="4">
        <f t="shared" si="6"/>
        <v>1.5</v>
      </c>
      <c r="U34" s="3">
        <f t="shared" si="7"/>
        <v>45</v>
      </c>
      <c r="V34" s="19"/>
    </row>
    <row r="35" spans="1:22" ht="34.950000000000003" customHeight="1" x14ac:dyDescent="0.35">
      <c r="A35" s="8"/>
      <c r="B35" s="14" t="s">
        <v>222</v>
      </c>
      <c r="C35" s="65"/>
      <c r="D35" s="65"/>
      <c r="E35" s="65"/>
      <c r="F35" s="95"/>
      <c r="G35" s="16">
        <v>6</v>
      </c>
      <c r="H35" s="15">
        <v>180</v>
      </c>
      <c r="I35" s="15">
        <v>60</v>
      </c>
      <c r="J35" s="3">
        <v>1</v>
      </c>
      <c r="K35" s="15">
        <f t="shared" si="0"/>
        <v>30</v>
      </c>
      <c r="L35" s="17">
        <v>1</v>
      </c>
      <c r="M35" s="15">
        <f t="shared" si="1"/>
        <v>1</v>
      </c>
      <c r="N35" s="15">
        <f t="shared" si="2"/>
        <v>30</v>
      </c>
      <c r="O35" s="3">
        <v>1</v>
      </c>
      <c r="P35" s="15">
        <f t="shared" si="3"/>
        <v>30</v>
      </c>
      <c r="Q35" s="17">
        <v>1</v>
      </c>
      <c r="R35" s="15">
        <f t="shared" si="4"/>
        <v>1</v>
      </c>
      <c r="S35" s="15">
        <f t="shared" si="5"/>
        <v>30</v>
      </c>
      <c r="T35" s="4">
        <f t="shared" si="6"/>
        <v>2</v>
      </c>
      <c r="U35" s="3">
        <f t="shared" si="7"/>
        <v>60</v>
      </c>
      <c r="V35" s="10"/>
    </row>
    <row r="36" spans="1:22" ht="38.549999999999997" customHeight="1" x14ac:dyDescent="0.35">
      <c r="A36" s="8"/>
      <c r="B36" s="14" t="s">
        <v>223</v>
      </c>
      <c r="C36" s="65"/>
      <c r="D36" s="65"/>
      <c r="E36" s="65"/>
      <c r="F36" s="95"/>
      <c r="G36" s="16">
        <v>6</v>
      </c>
      <c r="H36" s="15">
        <v>180</v>
      </c>
      <c r="I36" s="15">
        <v>60</v>
      </c>
      <c r="J36" s="3">
        <v>1</v>
      </c>
      <c r="K36" s="15">
        <f t="shared" si="0"/>
        <v>30</v>
      </c>
      <c r="L36" s="17">
        <v>1</v>
      </c>
      <c r="M36" s="15">
        <f t="shared" si="1"/>
        <v>1</v>
      </c>
      <c r="N36" s="15">
        <f t="shared" si="2"/>
        <v>30</v>
      </c>
      <c r="O36" s="3">
        <v>1</v>
      </c>
      <c r="P36" s="15">
        <f t="shared" si="3"/>
        <v>30</v>
      </c>
      <c r="Q36" s="17">
        <v>1</v>
      </c>
      <c r="R36" s="15">
        <f t="shared" si="4"/>
        <v>1</v>
      </c>
      <c r="S36" s="15">
        <f t="shared" si="5"/>
        <v>30</v>
      </c>
      <c r="T36" s="4">
        <f t="shared" si="6"/>
        <v>2</v>
      </c>
      <c r="U36" s="3">
        <f t="shared" si="7"/>
        <v>60</v>
      </c>
      <c r="V36" s="10"/>
    </row>
    <row r="37" spans="1:22" ht="74.55" customHeight="1" x14ac:dyDescent="0.3">
      <c r="A37" s="7"/>
      <c r="B37" s="14" t="s">
        <v>224</v>
      </c>
      <c r="C37" s="65"/>
      <c r="D37" s="65"/>
      <c r="E37" s="65"/>
      <c r="F37" s="95"/>
      <c r="G37" s="12">
        <v>5</v>
      </c>
      <c r="H37" s="15">
        <v>150</v>
      </c>
      <c r="I37" s="15">
        <v>45</v>
      </c>
      <c r="J37" s="3">
        <v>0.5</v>
      </c>
      <c r="K37" s="15">
        <f t="shared" si="0"/>
        <v>15</v>
      </c>
      <c r="L37" s="17">
        <v>1</v>
      </c>
      <c r="M37" s="15">
        <f t="shared" si="1"/>
        <v>0.5</v>
      </c>
      <c r="N37" s="15">
        <f t="shared" si="2"/>
        <v>15</v>
      </c>
      <c r="O37" s="3">
        <v>1</v>
      </c>
      <c r="P37" s="15">
        <f t="shared" si="3"/>
        <v>30</v>
      </c>
      <c r="Q37" s="17">
        <v>1</v>
      </c>
      <c r="R37" s="15">
        <f t="shared" si="4"/>
        <v>1</v>
      </c>
      <c r="S37" s="15">
        <f t="shared" si="5"/>
        <v>30</v>
      </c>
      <c r="T37" s="4">
        <f t="shared" si="6"/>
        <v>1.5</v>
      </c>
      <c r="U37" s="3">
        <f t="shared" si="7"/>
        <v>45</v>
      </c>
      <c r="V37" s="19"/>
    </row>
    <row r="38" spans="1:22" ht="70.95" customHeight="1" x14ac:dyDescent="0.3">
      <c r="A38" s="7"/>
      <c r="B38" s="14" t="s">
        <v>225</v>
      </c>
      <c r="C38" s="66"/>
      <c r="D38" s="65"/>
      <c r="E38" s="65"/>
      <c r="F38" s="95"/>
      <c r="G38" s="12">
        <v>5</v>
      </c>
      <c r="H38" s="15">
        <v>150</v>
      </c>
      <c r="I38" s="15">
        <v>45</v>
      </c>
      <c r="J38" s="3">
        <v>0.5</v>
      </c>
      <c r="K38" s="15">
        <f t="shared" si="0"/>
        <v>15</v>
      </c>
      <c r="L38" s="17">
        <v>1</v>
      </c>
      <c r="M38" s="15">
        <f t="shared" si="1"/>
        <v>0.5</v>
      </c>
      <c r="N38" s="15">
        <f t="shared" si="2"/>
        <v>15</v>
      </c>
      <c r="O38" s="3">
        <v>1</v>
      </c>
      <c r="P38" s="15">
        <f t="shared" si="3"/>
        <v>30</v>
      </c>
      <c r="Q38" s="17">
        <v>1</v>
      </c>
      <c r="R38" s="15">
        <f t="shared" si="4"/>
        <v>1</v>
      </c>
      <c r="S38" s="15">
        <f t="shared" si="5"/>
        <v>30</v>
      </c>
      <c r="T38" s="4">
        <f t="shared" si="6"/>
        <v>1.5</v>
      </c>
      <c r="U38" s="3">
        <f t="shared" si="7"/>
        <v>45</v>
      </c>
      <c r="V38" s="19"/>
    </row>
    <row r="39" spans="1:22" x14ac:dyDescent="0.3">
      <c r="A39" s="7"/>
      <c r="B39" s="68" t="s">
        <v>79</v>
      </c>
      <c r="C39" s="51" t="s">
        <v>17</v>
      </c>
      <c r="D39" s="99">
        <v>111</v>
      </c>
      <c r="E39" s="99">
        <v>76</v>
      </c>
      <c r="F39" s="99" t="s">
        <v>578</v>
      </c>
      <c r="G39" s="99">
        <v>4</v>
      </c>
      <c r="H39" s="15">
        <v>120</v>
      </c>
      <c r="I39" s="15">
        <v>45</v>
      </c>
      <c r="J39" s="3">
        <v>0.5</v>
      </c>
      <c r="K39" s="15">
        <f t="shared" si="0"/>
        <v>15</v>
      </c>
      <c r="L39" s="38">
        <v>2</v>
      </c>
      <c r="M39" s="15">
        <f t="shared" si="1"/>
        <v>1</v>
      </c>
      <c r="N39" s="15">
        <f t="shared" si="2"/>
        <v>30</v>
      </c>
      <c r="O39" s="3">
        <v>1</v>
      </c>
      <c r="P39" s="15">
        <f t="shared" si="3"/>
        <v>30</v>
      </c>
      <c r="Q39" s="38">
        <v>4</v>
      </c>
      <c r="R39" s="15">
        <f t="shared" si="4"/>
        <v>4</v>
      </c>
      <c r="S39" s="15">
        <f t="shared" si="5"/>
        <v>120</v>
      </c>
      <c r="T39" s="4">
        <f t="shared" si="6"/>
        <v>5</v>
      </c>
      <c r="U39" s="3">
        <f t="shared" si="7"/>
        <v>150</v>
      </c>
      <c r="V39" s="19"/>
    </row>
    <row r="40" spans="1:22" x14ac:dyDescent="0.3">
      <c r="A40" s="7"/>
      <c r="B40" s="69"/>
      <c r="C40" s="51" t="s">
        <v>18</v>
      </c>
      <c r="D40" s="100"/>
      <c r="E40" s="100"/>
      <c r="F40" s="100"/>
      <c r="G40" s="100"/>
      <c r="H40" s="15">
        <v>120</v>
      </c>
      <c r="I40" s="15">
        <v>45</v>
      </c>
      <c r="J40" s="3">
        <v>0.5</v>
      </c>
      <c r="K40" s="15">
        <f t="shared" si="0"/>
        <v>15</v>
      </c>
      <c r="L40" s="38">
        <v>1</v>
      </c>
      <c r="M40" s="15">
        <f t="shared" si="1"/>
        <v>0.5</v>
      </c>
      <c r="N40" s="15">
        <f t="shared" si="2"/>
        <v>15</v>
      </c>
      <c r="O40" s="3">
        <v>1</v>
      </c>
      <c r="P40" s="15">
        <f t="shared" si="3"/>
        <v>30</v>
      </c>
      <c r="Q40" s="38">
        <v>3</v>
      </c>
      <c r="R40" s="15">
        <f t="shared" si="4"/>
        <v>3</v>
      </c>
      <c r="S40" s="15">
        <f t="shared" si="5"/>
        <v>90</v>
      </c>
      <c r="T40" s="4">
        <f t="shared" si="6"/>
        <v>3.5</v>
      </c>
      <c r="U40" s="3">
        <f t="shared" si="7"/>
        <v>105</v>
      </c>
      <c r="V40" s="19"/>
    </row>
    <row r="41" spans="1:22" x14ac:dyDescent="0.3">
      <c r="A41" s="7"/>
      <c r="B41" s="62" t="s">
        <v>232</v>
      </c>
      <c r="C41" s="13" t="s">
        <v>17</v>
      </c>
      <c r="D41" s="64">
        <v>19</v>
      </c>
      <c r="E41" s="64">
        <v>16</v>
      </c>
      <c r="F41" s="95" t="s">
        <v>236</v>
      </c>
      <c r="G41" s="64">
        <v>6</v>
      </c>
      <c r="H41" s="15">
        <v>180</v>
      </c>
      <c r="I41" s="15">
        <v>60</v>
      </c>
      <c r="J41" s="3">
        <v>1</v>
      </c>
      <c r="K41" s="15">
        <f t="shared" si="0"/>
        <v>30</v>
      </c>
      <c r="L41" s="17">
        <v>1</v>
      </c>
      <c r="M41" s="15">
        <f t="shared" si="1"/>
        <v>1</v>
      </c>
      <c r="N41" s="15">
        <f t="shared" si="2"/>
        <v>30</v>
      </c>
      <c r="O41" s="3">
        <v>1</v>
      </c>
      <c r="P41" s="15">
        <f t="shared" si="3"/>
        <v>30</v>
      </c>
      <c r="Q41" s="17">
        <v>1</v>
      </c>
      <c r="R41" s="15">
        <f t="shared" si="4"/>
        <v>1</v>
      </c>
      <c r="S41" s="15">
        <f t="shared" si="5"/>
        <v>30</v>
      </c>
      <c r="T41" s="4">
        <f t="shared" si="6"/>
        <v>2</v>
      </c>
      <c r="U41" s="3">
        <f t="shared" si="7"/>
        <v>60</v>
      </c>
      <c r="V41" s="19"/>
    </row>
    <row r="42" spans="1:22" x14ac:dyDescent="0.3">
      <c r="A42" s="7"/>
      <c r="B42" s="63"/>
      <c r="C42" s="13" t="s">
        <v>18</v>
      </c>
      <c r="D42" s="65"/>
      <c r="E42" s="65"/>
      <c r="F42" s="95"/>
      <c r="G42" s="66"/>
      <c r="H42" s="15">
        <v>180</v>
      </c>
      <c r="I42" s="15">
        <v>60</v>
      </c>
      <c r="J42" s="3">
        <v>1</v>
      </c>
      <c r="K42" s="15">
        <f t="shared" si="0"/>
        <v>30</v>
      </c>
      <c r="L42" s="17">
        <v>1</v>
      </c>
      <c r="M42" s="15">
        <f t="shared" si="1"/>
        <v>1</v>
      </c>
      <c r="N42" s="15">
        <f t="shared" si="2"/>
        <v>30</v>
      </c>
      <c r="O42" s="3">
        <v>1</v>
      </c>
      <c r="P42" s="15">
        <f t="shared" si="3"/>
        <v>30</v>
      </c>
      <c r="Q42" s="17">
        <v>1</v>
      </c>
      <c r="R42" s="15">
        <f t="shared" si="4"/>
        <v>1</v>
      </c>
      <c r="S42" s="15">
        <f t="shared" si="5"/>
        <v>30</v>
      </c>
      <c r="T42" s="4">
        <f t="shared" si="6"/>
        <v>2</v>
      </c>
      <c r="U42" s="3">
        <f t="shared" si="7"/>
        <v>60</v>
      </c>
      <c r="V42" s="19"/>
    </row>
    <row r="43" spans="1:22" x14ac:dyDescent="0.3">
      <c r="A43" s="7"/>
      <c r="B43" s="62" t="s">
        <v>233</v>
      </c>
      <c r="C43" s="13" t="s">
        <v>17</v>
      </c>
      <c r="D43" s="65"/>
      <c r="E43" s="65"/>
      <c r="F43" s="95"/>
      <c r="G43" s="64">
        <v>6</v>
      </c>
      <c r="H43" s="15">
        <v>180</v>
      </c>
      <c r="I43" s="15">
        <v>60</v>
      </c>
      <c r="J43" s="3">
        <v>1</v>
      </c>
      <c r="K43" s="15">
        <f t="shared" si="0"/>
        <v>30</v>
      </c>
      <c r="L43" s="17">
        <v>1</v>
      </c>
      <c r="M43" s="15">
        <f t="shared" si="1"/>
        <v>1</v>
      </c>
      <c r="N43" s="15">
        <f t="shared" si="2"/>
        <v>30</v>
      </c>
      <c r="O43" s="3">
        <v>1</v>
      </c>
      <c r="P43" s="15">
        <f t="shared" si="3"/>
        <v>30</v>
      </c>
      <c r="Q43" s="17">
        <v>1</v>
      </c>
      <c r="R43" s="15">
        <f t="shared" si="4"/>
        <v>1</v>
      </c>
      <c r="S43" s="15">
        <f t="shared" si="5"/>
        <v>30</v>
      </c>
      <c r="T43" s="4">
        <f t="shared" si="6"/>
        <v>2</v>
      </c>
      <c r="U43" s="3">
        <f t="shared" si="7"/>
        <v>60</v>
      </c>
      <c r="V43" s="19"/>
    </row>
    <row r="44" spans="1:22" x14ac:dyDescent="0.3">
      <c r="A44" s="7"/>
      <c r="B44" s="63"/>
      <c r="C44" s="13" t="s">
        <v>18</v>
      </c>
      <c r="D44" s="65"/>
      <c r="E44" s="65"/>
      <c r="F44" s="95"/>
      <c r="G44" s="66"/>
      <c r="H44" s="15">
        <v>180</v>
      </c>
      <c r="I44" s="15">
        <v>60</v>
      </c>
      <c r="J44" s="3">
        <v>1</v>
      </c>
      <c r="K44" s="15">
        <f t="shared" si="0"/>
        <v>30</v>
      </c>
      <c r="L44" s="17">
        <v>1</v>
      </c>
      <c r="M44" s="15">
        <f t="shared" si="1"/>
        <v>1</v>
      </c>
      <c r="N44" s="15">
        <f t="shared" si="2"/>
        <v>30</v>
      </c>
      <c r="O44" s="3">
        <v>1</v>
      </c>
      <c r="P44" s="15">
        <f t="shared" si="3"/>
        <v>30</v>
      </c>
      <c r="Q44" s="17">
        <v>1</v>
      </c>
      <c r="R44" s="15">
        <f t="shared" si="4"/>
        <v>1</v>
      </c>
      <c r="S44" s="15">
        <f t="shared" si="5"/>
        <v>30</v>
      </c>
      <c r="T44" s="4">
        <f t="shared" si="6"/>
        <v>2</v>
      </c>
      <c r="U44" s="3">
        <f t="shared" si="7"/>
        <v>60</v>
      </c>
      <c r="V44" s="19"/>
    </row>
    <row r="45" spans="1:22" ht="37.950000000000003" customHeight="1" x14ac:dyDescent="0.3">
      <c r="A45" s="7"/>
      <c r="B45" s="62" t="s">
        <v>234</v>
      </c>
      <c r="C45" s="13" t="s">
        <v>17</v>
      </c>
      <c r="D45" s="65"/>
      <c r="E45" s="65"/>
      <c r="F45" s="95"/>
      <c r="G45" s="64">
        <v>5</v>
      </c>
      <c r="H45" s="15">
        <v>150</v>
      </c>
      <c r="I45" s="15">
        <v>45</v>
      </c>
      <c r="J45" s="3">
        <v>0.5</v>
      </c>
      <c r="K45" s="15">
        <f t="shared" si="0"/>
        <v>15</v>
      </c>
      <c r="L45" s="17">
        <v>1</v>
      </c>
      <c r="M45" s="15">
        <f t="shared" si="1"/>
        <v>0.5</v>
      </c>
      <c r="N45" s="15">
        <f t="shared" si="2"/>
        <v>15</v>
      </c>
      <c r="O45" s="3">
        <v>1</v>
      </c>
      <c r="P45" s="15">
        <f t="shared" si="3"/>
        <v>30</v>
      </c>
      <c r="Q45" s="17">
        <v>1</v>
      </c>
      <c r="R45" s="15">
        <f t="shared" si="4"/>
        <v>1</v>
      </c>
      <c r="S45" s="15">
        <f t="shared" si="5"/>
        <v>30</v>
      </c>
      <c r="T45" s="4">
        <f t="shared" si="6"/>
        <v>1.5</v>
      </c>
      <c r="U45" s="3">
        <f t="shared" si="7"/>
        <v>45</v>
      </c>
      <c r="V45" s="19"/>
    </row>
    <row r="46" spans="1:22" ht="37.200000000000003" customHeight="1" x14ac:dyDescent="0.3">
      <c r="A46" s="7"/>
      <c r="B46" s="63"/>
      <c r="C46" s="13" t="s">
        <v>18</v>
      </c>
      <c r="D46" s="65"/>
      <c r="E46" s="65"/>
      <c r="F46" s="95"/>
      <c r="G46" s="66"/>
      <c r="H46" s="15">
        <v>150</v>
      </c>
      <c r="I46" s="15">
        <v>45</v>
      </c>
      <c r="J46" s="3">
        <v>0.5</v>
      </c>
      <c r="K46" s="15">
        <f t="shared" si="0"/>
        <v>15</v>
      </c>
      <c r="L46" s="17">
        <v>1</v>
      </c>
      <c r="M46" s="15">
        <f t="shared" si="1"/>
        <v>0.5</v>
      </c>
      <c r="N46" s="15">
        <f t="shared" si="2"/>
        <v>15</v>
      </c>
      <c r="O46" s="3">
        <v>1</v>
      </c>
      <c r="P46" s="15">
        <f t="shared" si="3"/>
        <v>30</v>
      </c>
      <c r="Q46" s="17">
        <v>1</v>
      </c>
      <c r="R46" s="15">
        <f t="shared" si="4"/>
        <v>1</v>
      </c>
      <c r="S46" s="15">
        <f t="shared" si="5"/>
        <v>30</v>
      </c>
      <c r="T46" s="4">
        <f t="shared" si="6"/>
        <v>1.5</v>
      </c>
      <c r="U46" s="3">
        <f t="shared" si="7"/>
        <v>45</v>
      </c>
      <c r="V46" s="19"/>
    </row>
    <row r="47" spans="1:22" ht="31.2" customHeight="1" x14ac:dyDescent="0.3">
      <c r="A47" s="7"/>
      <c r="B47" s="62" t="s">
        <v>235</v>
      </c>
      <c r="C47" s="13" t="s">
        <v>17</v>
      </c>
      <c r="D47" s="65"/>
      <c r="E47" s="65"/>
      <c r="F47" s="95"/>
      <c r="G47" s="64">
        <v>5</v>
      </c>
      <c r="H47" s="15">
        <v>150</v>
      </c>
      <c r="I47" s="15">
        <v>45</v>
      </c>
      <c r="J47" s="3">
        <v>0.5</v>
      </c>
      <c r="K47" s="15">
        <f t="shared" si="0"/>
        <v>15</v>
      </c>
      <c r="L47" s="17">
        <v>1</v>
      </c>
      <c r="M47" s="15">
        <f t="shared" si="1"/>
        <v>0.5</v>
      </c>
      <c r="N47" s="15">
        <f t="shared" si="2"/>
        <v>15</v>
      </c>
      <c r="O47" s="3">
        <v>1</v>
      </c>
      <c r="P47" s="15">
        <f t="shared" si="3"/>
        <v>30</v>
      </c>
      <c r="Q47" s="17">
        <v>1</v>
      </c>
      <c r="R47" s="15">
        <f t="shared" si="4"/>
        <v>1</v>
      </c>
      <c r="S47" s="15">
        <f t="shared" si="5"/>
        <v>30</v>
      </c>
      <c r="T47" s="4">
        <f t="shared" si="6"/>
        <v>1.5</v>
      </c>
      <c r="U47" s="3">
        <f t="shared" si="7"/>
        <v>45</v>
      </c>
      <c r="V47" s="19"/>
    </row>
    <row r="48" spans="1:22" ht="27.6" customHeight="1" x14ac:dyDescent="0.3">
      <c r="A48" s="7"/>
      <c r="B48" s="63"/>
      <c r="C48" s="13" t="s">
        <v>18</v>
      </c>
      <c r="D48" s="66"/>
      <c r="E48" s="66"/>
      <c r="F48" s="95"/>
      <c r="G48" s="66"/>
      <c r="H48" s="15">
        <v>150</v>
      </c>
      <c r="I48" s="15">
        <v>45</v>
      </c>
      <c r="J48" s="3">
        <v>0.5</v>
      </c>
      <c r="K48" s="15">
        <f t="shared" si="0"/>
        <v>15</v>
      </c>
      <c r="L48" s="17">
        <v>1</v>
      </c>
      <c r="M48" s="15">
        <f t="shared" si="1"/>
        <v>0.5</v>
      </c>
      <c r="N48" s="15">
        <f t="shared" si="2"/>
        <v>15</v>
      </c>
      <c r="O48" s="3">
        <v>1</v>
      </c>
      <c r="P48" s="15">
        <f t="shared" si="3"/>
        <v>30</v>
      </c>
      <c r="Q48" s="17">
        <v>1</v>
      </c>
      <c r="R48" s="15">
        <f t="shared" si="4"/>
        <v>1</v>
      </c>
      <c r="S48" s="15">
        <f t="shared" si="5"/>
        <v>30</v>
      </c>
      <c r="T48" s="4">
        <f t="shared" si="6"/>
        <v>1.5</v>
      </c>
      <c r="U48" s="3">
        <f t="shared" si="7"/>
        <v>45</v>
      </c>
      <c r="V48" s="19"/>
    </row>
    <row r="49" spans="1:22" ht="42" customHeight="1" x14ac:dyDescent="0.3">
      <c r="A49" s="7"/>
      <c r="B49" s="14" t="s">
        <v>163</v>
      </c>
      <c r="C49" s="64" t="s">
        <v>17</v>
      </c>
      <c r="D49" s="64">
        <v>42</v>
      </c>
      <c r="E49" s="64"/>
      <c r="F49" s="64" t="s">
        <v>167</v>
      </c>
      <c r="G49" s="12">
        <v>5</v>
      </c>
      <c r="H49" s="15">
        <v>150</v>
      </c>
      <c r="I49" s="15">
        <v>45</v>
      </c>
      <c r="J49" s="3">
        <v>0.5</v>
      </c>
      <c r="K49" s="15">
        <f t="shared" si="0"/>
        <v>15</v>
      </c>
      <c r="L49" s="17">
        <v>1</v>
      </c>
      <c r="M49" s="15">
        <f t="shared" si="1"/>
        <v>0.5</v>
      </c>
      <c r="N49" s="15">
        <f t="shared" si="2"/>
        <v>15</v>
      </c>
      <c r="O49" s="3">
        <v>1</v>
      </c>
      <c r="P49" s="15">
        <f t="shared" si="3"/>
        <v>30</v>
      </c>
      <c r="Q49" s="17">
        <v>2</v>
      </c>
      <c r="R49" s="15">
        <f t="shared" si="4"/>
        <v>2</v>
      </c>
      <c r="S49" s="15">
        <f t="shared" si="5"/>
        <v>60</v>
      </c>
      <c r="T49" s="4">
        <f t="shared" si="6"/>
        <v>2.5</v>
      </c>
      <c r="U49" s="3">
        <f t="shared" si="7"/>
        <v>75</v>
      </c>
      <c r="V49" s="19"/>
    </row>
    <row r="50" spans="1:22" ht="36" customHeight="1" x14ac:dyDescent="0.3">
      <c r="B50" s="14" t="s">
        <v>242</v>
      </c>
      <c r="C50" s="65"/>
      <c r="D50" s="65"/>
      <c r="E50" s="65"/>
      <c r="F50" s="65"/>
      <c r="G50" s="12">
        <v>4</v>
      </c>
      <c r="H50" s="15">
        <v>120</v>
      </c>
      <c r="I50" s="15">
        <v>45</v>
      </c>
      <c r="J50" s="3">
        <v>0.5</v>
      </c>
      <c r="K50" s="15">
        <f t="shared" si="0"/>
        <v>15</v>
      </c>
      <c r="L50" s="17">
        <v>1</v>
      </c>
      <c r="M50" s="15">
        <f t="shared" si="1"/>
        <v>0.5</v>
      </c>
      <c r="N50" s="15">
        <f t="shared" si="2"/>
        <v>15</v>
      </c>
      <c r="O50" s="3">
        <v>1</v>
      </c>
      <c r="P50" s="15">
        <f t="shared" si="3"/>
        <v>30</v>
      </c>
      <c r="Q50" s="17">
        <v>2</v>
      </c>
      <c r="R50" s="15">
        <f t="shared" si="4"/>
        <v>2</v>
      </c>
      <c r="S50" s="15">
        <f t="shared" si="5"/>
        <v>60</v>
      </c>
      <c r="T50" s="4">
        <f t="shared" si="6"/>
        <v>2.5</v>
      </c>
      <c r="U50" s="3">
        <f t="shared" si="7"/>
        <v>75</v>
      </c>
      <c r="V50" s="19"/>
    </row>
    <row r="51" spans="1:22" ht="38.549999999999997" customHeight="1" x14ac:dyDescent="0.3">
      <c r="B51" s="14" t="s">
        <v>243</v>
      </c>
      <c r="C51" s="65"/>
      <c r="D51" s="65"/>
      <c r="E51" s="65"/>
      <c r="F51" s="65"/>
      <c r="G51" s="12">
        <v>5</v>
      </c>
      <c r="H51" s="15">
        <v>150</v>
      </c>
      <c r="I51" s="15">
        <v>45</v>
      </c>
      <c r="J51" s="3">
        <v>0.5</v>
      </c>
      <c r="K51" s="15">
        <f t="shared" si="0"/>
        <v>15</v>
      </c>
      <c r="L51" s="17">
        <v>1</v>
      </c>
      <c r="M51" s="15">
        <f t="shared" si="1"/>
        <v>0.5</v>
      </c>
      <c r="N51" s="15">
        <f t="shared" si="2"/>
        <v>15</v>
      </c>
      <c r="O51" s="3">
        <v>1</v>
      </c>
      <c r="P51" s="15">
        <f t="shared" si="3"/>
        <v>30</v>
      </c>
      <c r="Q51" s="17">
        <v>2</v>
      </c>
      <c r="R51" s="15">
        <f t="shared" si="4"/>
        <v>2</v>
      </c>
      <c r="S51" s="15">
        <f t="shared" si="5"/>
        <v>60</v>
      </c>
      <c r="T51" s="4">
        <f t="shared" si="6"/>
        <v>2.5</v>
      </c>
      <c r="U51" s="3">
        <f t="shared" si="7"/>
        <v>75</v>
      </c>
      <c r="V51" s="19"/>
    </row>
    <row r="52" spans="1:22" ht="37.200000000000003" customHeight="1" x14ac:dyDescent="0.3">
      <c r="B52" s="14" t="s">
        <v>166</v>
      </c>
      <c r="C52" s="65"/>
      <c r="D52" s="65"/>
      <c r="E52" s="65"/>
      <c r="F52" s="65"/>
      <c r="G52" s="12">
        <v>4</v>
      </c>
      <c r="H52" s="15">
        <v>120</v>
      </c>
      <c r="I52" s="15">
        <v>45</v>
      </c>
      <c r="J52" s="3">
        <v>0.5</v>
      </c>
      <c r="K52" s="15">
        <f t="shared" si="0"/>
        <v>15</v>
      </c>
      <c r="L52" s="17">
        <v>1</v>
      </c>
      <c r="M52" s="15">
        <f t="shared" si="1"/>
        <v>0.5</v>
      </c>
      <c r="N52" s="15">
        <f t="shared" si="2"/>
        <v>15</v>
      </c>
      <c r="O52" s="3">
        <v>1</v>
      </c>
      <c r="P52" s="15">
        <f t="shared" si="3"/>
        <v>30</v>
      </c>
      <c r="Q52" s="17">
        <v>2</v>
      </c>
      <c r="R52" s="15">
        <f t="shared" si="4"/>
        <v>2</v>
      </c>
      <c r="S52" s="15">
        <f t="shared" si="5"/>
        <v>60</v>
      </c>
      <c r="T52" s="4">
        <f t="shared" si="6"/>
        <v>2.5</v>
      </c>
      <c r="U52" s="3">
        <f t="shared" si="7"/>
        <v>75</v>
      </c>
      <c r="V52" s="19"/>
    </row>
    <row r="53" spans="1:22" ht="57.6" customHeight="1" x14ac:dyDescent="0.3">
      <c r="B53" s="14" t="s">
        <v>244</v>
      </c>
      <c r="C53" s="66"/>
      <c r="D53" s="65"/>
      <c r="E53" s="65"/>
      <c r="F53" s="65"/>
      <c r="G53" s="12">
        <v>5</v>
      </c>
      <c r="H53" s="15">
        <v>150</v>
      </c>
      <c r="I53" s="15">
        <v>45</v>
      </c>
      <c r="J53" s="3">
        <v>0.5</v>
      </c>
      <c r="K53" s="15">
        <f t="shared" si="0"/>
        <v>15</v>
      </c>
      <c r="L53" s="17">
        <v>1</v>
      </c>
      <c r="M53" s="15">
        <f t="shared" si="1"/>
        <v>0.5</v>
      </c>
      <c r="N53" s="15">
        <f t="shared" si="2"/>
        <v>15</v>
      </c>
      <c r="O53" s="3">
        <v>1</v>
      </c>
      <c r="P53" s="15">
        <f t="shared" si="3"/>
        <v>30</v>
      </c>
      <c r="Q53" s="17">
        <v>2</v>
      </c>
      <c r="R53" s="15">
        <f t="shared" si="4"/>
        <v>2</v>
      </c>
      <c r="S53" s="15">
        <f t="shared" si="5"/>
        <v>60</v>
      </c>
      <c r="T53" s="4">
        <f t="shared" si="6"/>
        <v>2.5</v>
      </c>
      <c r="U53" s="3">
        <f t="shared" si="7"/>
        <v>75</v>
      </c>
      <c r="V53" s="19"/>
    </row>
    <row r="54" spans="1:22" ht="36" x14ac:dyDescent="0.35">
      <c r="A54" s="8"/>
      <c r="B54" s="62" t="s">
        <v>33</v>
      </c>
      <c r="C54" s="13" t="s">
        <v>17</v>
      </c>
      <c r="D54" s="64">
        <v>23</v>
      </c>
      <c r="E54" s="64">
        <v>5</v>
      </c>
      <c r="F54" s="64" t="s">
        <v>21</v>
      </c>
      <c r="G54" s="87">
        <v>3</v>
      </c>
      <c r="H54" s="15">
        <v>90</v>
      </c>
      <c r="I54" s="15">
        <v>30</v>
      </c>
      <c r="J54" s="3">
        <v>0</v>
      </c>
      <c r="K54" s="15">
        <f t="shared" si="0"/>
        <v>0</v>
      </c>
      <c r="L54" s="9">
        <v>0</v>
      </c>
      <c r="M54" s="15">
        <f t="shared" si="1"/>
        <v>0</v>
      </c>
      <c r="N54" s="15">
        <f t="shared" si="2"/>
        <v>0</v>
      </c>
      <c r="O54" s="3">
        <v>1</v>
      </c>
      <c r="P54" s="15">
        <f t="shared" si="3"/>
        <v>30</v>
      </c>
      <c r="Q54" s="9">
        <v>12</v>
      </c>
      <c r="R54" s="15">
        <f t="shared" si="4"/>
        <v>12</v>
      </c>
      <c r="S54" s="15">
        <f t="shared" si="5"/>
        <v>360</v>
      </c>
      <c r="T54" s="4">
        <f t="shared" si="6"/>
        <v>12</v>
      </c>
      <c r="U54" s="3">
        <f t="shared" si="7"/>
        <v>360</v>
      </c>
      <c r="V54" s="32" t="s">
        <v>412</v>
      </c>
    </row>
    <row r="55" spans="1:22" ht="36" x14ac:dyDescent="0.35">
      <c r="A55" s="8"/>
      <c r="B55" s="63"/>
      <c r="C55" s="13" t="s">
        <v>18</v>
      </c>
      <c r="D55" s="65"/>
      <c r="E55" s="65"/>
      <c r="F55" s="65"/>
      <c r="G55" s="88"/>
      <c r="H55" s="15">
        <v>90</v>
      </c>
      <c r="I55" s="15">
        <v>30</v>
      </c>
      <c r="J55" s="3">
        <v>0</v>
      </c>
      <c r="K55" s="15">
        <f t="shared" si="0"/>
        <v>0</v>
      </c>
      <c r="L55" s="9">
        <v>0</v>
      </c>
      <c r="M55" s="15">
        <f t="shared" si="1"/>
        <v>0</v>
      </c>
      <c r="N55" s="15">
        <f t="shared" si="2"/>
        <v>0</v>
      </c>
      <c r="O55" s="3">
        <v>1</v>
      </c>
      <c r="P55" s="15">
        <f t="shared" si="3"/>
        <v>30</v>
      </c>
      <c r="Q55" s="9">
        <v>3</v>
      </c>
      <c r="R55" s="15">
        <f t="shared" si="4"/>
        <v>3</v>
      </c>
      <c r="S55" s="15">
        <f t="shared" si="5"/>
        <v>90</v>
      </c>
      <c r="T55" s="4">
        <f t="shared" si="6"/>
        <v>3</v>
      </c>
      <c r="U55" s="3">
        <f t="shared" si="7"/>
        <v>90</v>
      </c>
      <c r="V55" s="32" t="s">
        <v>411</v>
      </c>
    </row>
    <row r="56" spans="1:22" x14ac:dyDescent="0.35">
      <c r="A56" s="8"/>
      <c r="B56" s="62" t="s">
        <v>247</v>
      </c>
      <c r="C56" s="13" t="s">
        <v>17</v>
      </c>
      <c r="D56" s="65"/>
      <c r="E56" s="65"/>
      <c r="F56" s="65"/>
      <c r="G56" s="87">
        <v>3</v>
      </c>
      <c r="H56" s="15">
        <v>90</v>
      </c>
      <c r="I56" s="15">
        <v>30</v>
      </c>
      <c r="J56" s="3">
        <v>0</v>
      </c>
      <c r="K56" s="15">
        <f t="shared" si="0"/>
        <v>0</v>
      </c>
      <c r="L56" s="9">
        <v>0</v>
      </c>
      <c r="M56" s="15">
        <f t="shared" si="1"/>
        <v>0</v>
      </c>
      <c r="N56" s="15">
        <f t="shared" si="2"/>
        <v>0</v>
      </c>
      <c r="O56" s="3">
        <v>1</v>
      </c>
      <c r="P56" s="15">
        <f t="shared" si="3"/>
        <v>30</v>
      </c>
      <c r="Q56" s="9">
        <v>5</v>
      </c>
      <c r="R56" s="15">
        <f t="shared" si="4"/>
        <v>5</v>
      </c>
      <c r="S56" s="15">
        <f t="shared" si="5"/>
        <v>150</v>
      </c>
      <c r="T56" s="4">
        <f t="shared" si="6"/>
        <v>5</v>
      </c>
      <c r="U56" s="3">
        <f t="shared" si="7"/>
        <v>150</v>
      </c>
      <c r="V56" s="10"/>
    </row>
    <row r="57" spans="1:22" x14ac:dyDescent="0.35">
      <c r="A57" s="8"/>
      <c r="B57" s="63"/>
      <c r="C57" s="13" t="s">
        <v>18</v>
      </c>
      <c r="D57" s="65"/>
      <c r="E57" s="65"/>
      <c r="F57" s="65"/>
      <c r="G57" s="88"/>
      <c r="H57" s="15">
        <v>90</v>
      </c>
      <c r="I57" s="15">
        <v>30</v>
      </c>
      <c r="J57" s="3">
        <v>0</v>
      </c>
      <c r="K57" s="15">
        <f t="shared" si="0"/>
        <v>0</v>
      </c>
      <c r="L57" s="9">
        <v>0</v>
      </c>
      <c r="M57" s="15">
        <f t="shared" si="1"/>
        <v>0</v>
      </c>
      <c r="N57" s="15">
        <f t="shared" si="2"/>
        <v>0</v>
      </c>
      <c r="O57" s="3">
        <v>1</v>
      </c>
      <c r="P57" s="15">
        <f t="shared" si="3"/>
        <v>30</v>
      </c>
      <c r="Q57" s="9">
        <v>1</v>
      </c>
      <c r="R57" s="15">
        <f t="shared" si="4"/>
        <v>1</v>
      </c>
      <c r="S57" s="15">
        <f t="shared" si="5"/>
        <v>30</v>
      </c>
      <c r="T57" s="4">
        <f t="shared" si="6"/>
        <v>1</v>
      </c>
      <c r="U57" s="3">
        <f t="shared" si="7"/>
        <v>30</v>
      </c>
      <c r="V57" s="20"/>
    </row>
    <row r="58" spans="1:22" x14ac:dyDescent="0.3">
      <c r="A58" s="7"/>
      <c r="B58" s="62" t="s">
        <v>248</v>
      </c>
      <c r="C58" s="13" t="s">
        <v>17</v>
      </c>
      <c r="D58" s="65"/>
      <c r="E58" s="65"/>
      <c r="F58" s="65"/>
      <c r="G58" s="64">
        <v>4</v>
      </c>
      <c r="H58" s="15">
        <v>120</v>
      </c>
      <c r="I58" s="15">
        <v>45</v>
      </c>
      <c r="J58" s="3">
        <v>0</v>
      </c>
      <c r="K58" s="15">
        <f t="shared" si="0"/>
        <v>0</v>
      </c>
      <c r="L58" s="9">
        <v>0</v>
      </c>
      <c r="M58" s="15">
        <f t="shared" si="1"/>
        <v>0</v>
      </c>
      <c r="N58" s="15">
        <f t="shared" si="2"/>
        <v>0</v>
      </c>
      <c r="O58" s="3">
        <v>1.5</v>
      </c>
      <c r="P58" s="15">
        <f t="shared" si="3"/>
        <v>45</v>
      </c>
      <c r="Q58" s="17">
        <v>11</v>
      </c>
      <c r="R58" s="15">
        <f t="shared" si="4"/>
        <v>16.5</v>
      </c>
      <c r="S58" s="15">
        <f t="shared" si="5"/>
        <v>495</v>
      </c>
      <c r="T58" s="4">
        <f t="shared" si="6"/>
        <v>16.5</v>
      </c>
      <c r="U58" s="3">
        <f t="shared" si="7"/>
        <v>495</v>
      </c>
      <c r="V58" s="19"/>
    </row>
    <row r="59" spans="1:22" x14ac:dyDescent="0.3">
      <c r="A59" s="7"/>
      <c r="B59" s="63"/>
      <c r="C59" s="13" t="s">
        <v>18</v>
      </c>
      <c r="D59" s="65"/>
      <c r="E59" s="65"/>
      <c r="F59" s="65"/>
      <c r="G59" s="66"/>
      <c r="H59" s="15">
        <v>120</v>
      </c>
      <c r="I59" s="15">
        <v>45</v>
      </c>
      <c r="J59" s="3">
        <v>0</v>
      </c>
      <c r="K59" s="15">
        <f t="shared" si="0"/>
        <v>0</v>
      </c>
      <c r="L59" s="9">
        <v>0</v>
      </c>
      <c r="M59" s="15">
        <f t="shared" si="1"/>
        <v>0</v>
      </c>
      <c r="N59" s="15">
        <f t="shared" si="2"/>
        <v>0</v>
      </c>
      <c r="O59" s="3">
        <v>1.5</v>
      </c>
      <c r="P59" s="15">
        <f t="shared" si="3"/>
        <v>45</v>
      </c>
      <c r="Q59" s="17">
        <v>2</v>
      </c>
      <c r="R59" s="15">
        <f t="shared" si="4"/>
        <v>3</v>
      </c>
      <c r="S59" s="15">
        <f t="shared" si="5"/>
        <v>90</v>
      </c>
      <c r="T59" s="4">
        <f t="shared" si="6"/>
        <v>3</v>
      </c>
      <c r="U59" s="3">
        <f t="shared" si="7"/>
        <v>90</v>
      </c>
      <c r="V59" s="19"/>
    </row>
    <row r="60" spans="1:22" ht="36" x14ac:dyDescent="0.35">
      <c r="A60" s="7"/>
      <c r="B60" s="62" t="s">
        <v>249</v>
      </c>
      <c r="C60" s="13" t="s">
        <v>17</v>
      </c>
      <c r="D60" s="65"/>
      <c r="E60" s="65"/>
      <c r="F60" s="65"/>
      <c r="G60" s="64">
        <v>3</v>
      </c>
      <c r="H60" s="15">
        <v>90</v>
      </c>
      <c r="I60" s="15">
        <v>30</v>
      </c>
      <c r="J60" s="3">
        <v>0</v>
      </c>
      <c r="K60" s="15">
        <f t="shared" si="0"/>
        <v>0</v>
      </c>
      <c r="L60" s="9">
        <v>0</v>
      </c>
      <c r="M60" s="15">
        <f t="shared" si="1"/>
        <v>0</v>
      </c>
      <c r="N60" s="15">
        <f t="shared" si="2"/>
        <v>0</v>
      </c>
      <c r="O60" s="3">
        <v>1</v>
      </c>
      <c r="P60" s="15">
        <f t="shared" si="3"/>
        <v>30</v>
      </c>
      <c r="Q60" s="9">
        <v>9</v>
      </c>
      <c r="R60" s="15">
        <f t="shared" si="4"/>
        <v>9</v>
      </c>
      <c r="S60" s="15">
        <f t="shared" si="5"/>
        <v>270</v>
      </c>
      <c r="T60" s="4">
        <f t="shared" si="6"/>
        <v>9</v>
      </c>
      <c r="U60" s="3">
        <f t="shared" si="7"/>
        <v>270</v>
      </c>
      <c r="V60" s="32" t="s">
        <v>559</v>
      </c>
    </row>
    <row r="61" spans="1:22" ht="36" x14ac:dyDescent="0.35">
      <c r="A61" s="7"/>
      <c r="B61" s="63"/>
      <c r="C61" s="13" t="s">
        <v>18</v>
      </c>
      <c r="D61" s="65"/>
      <c r="E61" s="65"/>
      <c r="F61" s="65"/>
      <c r="G61" s="66"/>
      <c r="H61" s="15">
        <v>90</v>
      </c>
      <c r="I61" s="15">
        <v>30</v>
      </c>
      <c r="J61" s="3">
        <v>0</v>
      </c>
      <c r="K61" s="15">
        <f t="shared" si="0"/>
        <v>0</v>
      </c>
      <c r="L61" s="9">
        <v>0</v>
      </c>
      <c r="M61" s="15">
        <f t="shared" si="1"/>
        <v>0</v>
      </c>
      <c r="N61" s="15">
        <f t="shared" si="2"/>
        <v>0</v>
      </c>
      <c r="O61" s="3">
        <v>1</v>
      </c>
      <c r="P61" s="15">
        <f t="shared" si="3"/>
        <v>30</v>
      </c>
      <c r="Q61" s="9">
        <v>1.5</v>
      </c>
      <c r="R61" s="15">
        <f t="shared" si="4"/>
        <v>1.5</v>
      </c>
      <c r="S61" s="15">
        <f t="shared" si="5"/>
        <v>45</v>
      </c>
      <c r="T61" s="4">
        <f t="shared" si="6"/>
        <v>1.5</v>
      </c>
      <c r="U61" s="3">
        <f t="shared" si="7"/>
        <v>45</v>
      </c>
      <c r="V61" s="32" t="s">
        <v>558</v>
      </c>
    </row>
    <row r="62" spans="1:22" x14ac:dyDescent="0.3">
      <c r="A62" s="7"/>
      <c r="B62" s="62" t="s">
        <v>250</v>
      </c>
      <c r="C62" s="13" t="s">
        <v>17</v>
      </c>
      <c r="D62" s="65"/>
      <c r="E62" s="65"/>
      <c r="F62" s="65"/>
      <c r="G62" s="64">
        <v>3</v>
      </c>
      <c r="H62" s="15">
        <v>90</v>
      </c>
      <c r="I62" s="15">
        <v>30</v>
      </c>
      <c r="J62" s="3">
        <v>0</v>
      </c>
      <c r="K62" s="15">
        <f t="shared" si="0"/>
        <v>0</v>
      </c>
      <c r="L62" s="9">
        <v>0</v>
      </c>
      <c r="M62" s="15">
        <f t="shared" si="1"/>
        <v>0</v>
      </c>
      <c r="N62" s="15">
        <f t="shared" si="2"/>
        <v>0</v>
      </c>
      <c r="O62" s="3">
        <v>1</v>
      </c>
      <c r="P62" s="15">
        <f t="shared" si="3"/>
        <v>30</v>
      </c>
      <c r="Q62" s="17">
        <v>1.5</v>
      </c>
      <c r="R62" s="15">
        <f t="shared" si="4"/>
        <v>1.5</v>
      </c>
      <c r="S62" s="15">
        <f t="shared" si="5"/>
        <v>45</v>
      </c>
      <c r="T62" s="4">
        <f t="shared" si="6"/>
        <v>1.5</v>
      </c>
      <c r="U62" s="3">
        <f t="shared" si="7"/>
        <v>45</v>
      </c>
      <c r="V62" s="29" t="s">
        <v>410</v>
      </c>
    </row>
    <row r="63" spans="1:22" x14ac:dyDescent="0.3">
      <c r="A63" s="7"/>
      <c r="B63" s="63"/>
      <c r="C63" s="13" t="s">
        <v>18</v>
      </c>
      <c r="D63" s="65"/>
      <c r="E63" s="65"/>
      <c r="F63" s="65"/>
      <c r="G63" s="66"/>
      <c r="H63" s="15">
        <v>90</v>
      </c>
      <c r="I63" s="15">
        <v>30</v>
      </c>
      <c r="J63" s="3">
        <v>0</v>
      </c>
      <c r="K63" s="15">
        <f t="shared" si="0"/>
        <v>0</v>
      </c>
      <c r="L63" s="9">
        <v>0</v>
      </c>
      <c r="M63" s="15">
        <f t="shared" si="1"/>
        <v>0</v>
      </c>
      <c r="N63" s="15">
        <f t="shared" si="2"/>
        <v>0</v>
      </c>
      <c r="O63" s="3">
        <v>1</v>
      </c>
      <c r="P63" s="15">
        <f t="shared" si="3"/>
        <v>30</v>
      </c>
      <c r="Q63" s="17">
        <v>1.5</v>
      </c>
      <c r="R63" s="15">
        <f t="shared" si="4"/>
        <v>1.5</v>
      </c>
      <c r="S63" s="15">
        <f t="shared" si="5"/>
        <v>45</v>
      </c>
      <c r="T63" s="4">
        <f t="shared" si="6"/>
        <v>1.5</v>
      </c>
      <c r="U63" s="3">
        <f t="shared" si="7"/>
        <v>45</v>
      </c>
      <c r="V63" s="29" t="s">
        <v>410</v>
      </c>
    </row>
    <row r="64" spans="1:22" x14ac:dyDescent="0.3">
      <c r="A64" s="7"/>
      <c r="B64" s="62" t="s">
        <v>251</v>
      </c>
      <c r="C64" s="13" t="s">
        <v>17</v>
      </c>
      <c r="D64" s="65"/>
      <c r="E64" s="65"/>
      <c r="F64" s="65"/>
      <c r="G64" s="64">
        <v>4</v>
      </c>
      <c r="H64" s="15">
        <v>120</v>
      </c>
      <c r="I64" s="15">
        <v>45</v>
      </c>
      <c r="J64" s="3">
        <v>0.5</v>
      </c>
      <c r="K64" s="15">
        <f t="shared" si="0"/>
        <v>15</v>
      </c>
      <c r="L64" s="17">
        <v>1</v>
      </c>
      <c r="M64" s="15">
        <f t="shared" si="1"/>
        <v>0.5</v>
      </c>
      <c r="N64" s="15">
        <f t="shared" si="2"/>
        <v>15</v>
      </c>
      <c r="O64" s="3">
        <v>1</v>
      </c>
      <c r="P64" s="15">
        <f t="shared" si="3"/>
        <v>30</v>
      </c>
      <c r="Q64" s="17">
        <v>1</v>
      </c>
      <c r="R64" s="15">
        <f t="shared" si="4"/>
        <v>1</v>
      </c>
      <c r="S64" s="15">
        <f t="shared" si="5"/>
        <v>30</v>
      </c>
      <c r="T64" s="4">
        <f t="shared" si="6"/>
        <v>1.5</v>
      </c>
      <c r="U64" s="3">
        <f t="shared" si="7"/>
        <v>45</v>
      </c>
      <c r="V64" s="19"/>
    </row>
    <row r="65" spans="1:22" x14ac:dyDescent="0.3">
      <c r="A65" s="7"/>
      <c r="B65" s="63"/>
      <c r="C65" s="13" t="s">
        <v>18</v>
      </c>
      <c r="D65" s="65"/>
      <c r="E65" s="65"/>
      <c r="F65" s="65"/>
      <c r="G65" s="66"/>
      <c r="H65" s="15">
        <v>120</v>
      </c>
      <c r="I65" s="15">
        <v>45</v>
      </c>
      <c r="J65" s="3">
        <v>0.5</v>
      </c>
      <c r="K65" s="15">
        <f t="shared" si="0"/>
        <v>15</v>
      </c>
      <c r="L65" s="17">
        <v>1</v>
      </c>
      <c r="M65" s="15">
        <f t="shared" si="1"/>
        <v>0.5</v>
      </c>
      <c r="N65" s="15">
        <f t="shared" si="2"/>
        <v>15</v>
      </c>
      <c r="O65" s="3">
        <v>1</v>
      </c>
      <c r="P65" s="15">
        <f t="shared" si="3"/>
        <v>30</v>
      </c>
      <c r="Q65" s="17">
        <v>1</v>
      </c>
      <c r="R65" s="15">
        <f t="shared" si="4"/>
        <v>1</v>
      </c>
      <c r="S65" s="15">
        <f t="shared" si="5"/>
        <v>30</v>
      </c>
      <c r="T65" s="4">
        <f t="shared" si="6"/>
        <v>1.5</v>
      </c>
      <c r="U65" s="3">
        <f t="shared" si="7"/>
        <v>45</v>
      </c>
      <c r="V65" s="19"/>
    </row>
    <row r="66" spans="1:22" x14ac:dyDescent="0.3">
      <c r="A66" s="7"/>
      <c r="B66" s="62" t="s">
        <v>252</v>
      </c>
      <c r="C66" s="13" t="s">
        <v>17</v>
      </c>
      <c r="D66" s="65"/>
      <c r="E66" s="65"/>
      <c r="F66" s="65"/>
      <c r="G66" s="64">
        <v>3</v>
      </c>
      <c r="H66" s="15">
        <v>90</v>
      </c>
      <c r="I66" s="15">
        <v>30</v>
      </c>
      <c r="J66" s="3">
        <v>0.5</v>
      </c>
      <c r="K66" s="15">
        <f t="shared" si="0"/>
        <v>15</v>
      </c>
      <c r="L66" s="17">
        <v>1</v>
      </c>
      <c r="M66" s="15">
        <f t="shared" si="1"/>
        <v>0.5</v>
      </c>
      <c r="N66" s="15">
        <f t="shared" si="2"/>
        <v>15</v>
      </c>
      <c r="O66" s="3">
        <v>0.5</v>
      </c>
      <c r="P66" s="15">
        <f t="shared" si="3"/>
        <v>15</v>
      </c>
      <c r="Q66" s="17">
        <v>1</v>
      </c>
      <c r="R66" s="15">
        <f t="shared" si="4"/>
        <v>0.5</v>
      </c>
      <c r="S66" s="15">
        <f t="shared" si="5"/>
        <v>15</v>
      </c>
      <c r="T66" s="4">
        <f t="shared" si="6"/>
        <v>1</v>
      </c>
      <c r="U66" s="3">
        <f t="shared" si="7"/>
        <v>30</v>
      </c>
      <c r="V66" s="19"/>
    </row>
    <row r="67" spans="1:22" x14ac:dyDescent="0.3">
      <c r="A67" s="7"/>
      <c r="B67" s="63"/>
      <c r="C67" s="13" t="s">
        <v>18</v>
      </c>
      <c r="D67" s="66"/>
      <c r="E67" s="66"/>
      <c r="F67" s="66"/>
      <c r="G67" s="66"/>
      <c r="H67" s="15">
        <v>90</v>
      </c>
      <c r="I67" s="15">
        <v>30</v>
      </c>
      <c r="J67" s="3">
        <v>0.5</v>
      </c>
      <c r="K67" s="15">
        <f t="shared" si="0"/>
        <v>15</v>
      </c>
      <c r="L67" s="17">
        <v>1</v>
      </c>
      <c r="M67" s="15">
        <f t="shared" si="1"/>
        <v>0.5</v>
      </c>
      <c r="N67" s="15">
        <f t="shared" si="2"/>
        <v>15</v>
      </c>
      <c r="O67" s="3">
        <v>0.5</v>
      </c>
      <c r="P67" s="15">
        <f t="shared" si="3"/>
        <v>15</v>
      </c>
      <c r="Q67" s="17">
        <v>1</v>
      </c>
      <c r="R67" s="15">
        <f t="shared" si="4"/>
        <v>0.5</v>
      </c>
      <c r="S67" s="15">
        <f t="shared" si="5"/>
        <v>15</v>
      </c>
      <c r="T67" s="4">
        <f t="shared" si="6"/>
        <v>1</v>
      </c>
      <c r="U67" s="3">
        <f t="shared" si="7"/>
        <v>30</v>
      </c>
      <c r="V67" s="19"/>
    </row>
    <row r="68" spans="1:22" x14ac:dyDescent="0.3">
      <c r="A68" s="7"/>
      <c r="B68" s="62" t="s">
        <v>221</v>
      </c>
      <c r="C68" s="13" t="s">
        <v>17</v>
      </c>
      <c r="D68" s="64">
        <v>9</v>
      </c>
      <c r="E68" s="64">
        <v>6</v>
      </c>
      <c r="F68" s="64" t="s">
        <v>265</v>
      </c>
      <c r="G68" s="64">
        <v>4</v>
      </c>
      <c r="H68" s="15">
        <v>120</v>
      </c>
      <c r="I68" s="15">
        <v>45</v>
      </c>
      <c r="J68" s="3">
        <v>0.5</v>
      </c>
      <c r="K68" s="15">
        <f t="shared" si="0"/>
        <v>15</v>
      </c>
      <c r="L68" s="17">
        <v>1</v>
      </c>
      <c r="M68" s="15">
        <f t="shared" si="1"/>
        <v>0.5</v>
      </c>
      <c r="N68" s="15">
        <f t="shared" si="2"/>
        <v>15</v>
      </c>
      <c r="O68" s="3">
        <v>1</v>
      </c>
      <c r="P68" s="15">
        <f t="shared" si="3"/>
        <v>30</v>
      </c>
      <c r="Q68" s="17">
        <v>1</v>
      </c>
      <c r="R68" s="15">
        <f t="shared" si="4"/>
        <v>1</v>
      </c>
      <c r="S68" s="15">
        <f t="shared" si="5"/>
        <v>30</v>
      </c>
      <c r="T68" s="4">
        <f t="shared" si="6"/>
        <v>1.5</v>
      </c>
      <c r="U68" s="3">
        <f t="shared" si="7"/>
        <v>45</v>
      </c>
      <c r="V68" s="19"/>
    </row>
    <row r="69" spans="1:22" x14ac:dyDescent="0.3">
      <c r="A69" s="7"/>
      <c r="B69" s="63"/>
      <c r="C69" s="13" t="s">
        <v>18</v>
      </c>
      <c r="D69" s="65"/>
      <c r="E69" s="65"/>
      <c r="F69" s="65"/>
      <c r="G69" s="66"/>
      <c r="H69" s="15">
        <v>120</v>
      </c>
      <c r="I69" s="15">
        <v>45</v>
      </c>
      <c r="J69" s="3">
        <v>0.5</v>
      </c>
      <c r="K69" s="15">
        <f t="shared" si="0"/>
        <v>15</v>
      </c>
      <c r="L69" s="17">
        <v>1</v>
      </c>
      <c r="M69" s="15">
        <f t="shared" si="1"/>
        <v>0.5</v>
      </c>
      <c r="N69" s="15">
        <f t="shared" si="2"/>
        <v>15</v>
      </c>
      <c r="O69" s="3">
        <v>1</v>
      </c>
      <c r="P69" s="15">
        <f t="shared" si="3"/>
        <v>30</v>
      </c>
      <c r="Q69" s="17">
        <v>1</v>
      </c>
      <c r="R69" s="15">
        <f t="shared" si="4"/>
        <v>1</v>
      </c>
      <c r="S69" s="15">
        <f t="shared" si="5"/>
        <v>30</v>
      </c>
      <c r="T69" s="4">
        <f t="shared" si="6"/>
        <v>1.5</v>
      </c>
      <c r="U69" s="3">
        <f t="shared" si="7"/>
        <v>45</v>
      </c>
      <c r="V69" s="19"/>
    </row>
    <row r="70" spans="1:22" x14ac:dyDescent="0.3">
      <c r="A70" s="7"/>
      <c r="B70" s="62" t="s">
        <v>260</v>
      </c>
      <c r="C70" s="13" t="s">
        <v>17</v>
      </c>
      <c r="D70" s="65"/>
      <c r="E70" s="65"/>
      <c r="F70" s="65"/>
      <c r="G70" s="64">
        <v>4</v>
      </c>
      <c r="H70" s="15">
        <v>120</v>
      </c>
      <c r="I70" s="15">
        <v>45</v>
      </c>
      <c r="J70" s="3">
        <v>0.5</v>
      </c>
      <c r="K70" s="15">
        <f>J70*30</f>
        <v>15</v>
      </c>
      <c r="L70" s="17">
        <v>1</v>
      </c>
      <c r="M70" s="15">
        <f>J70*L70</f>
        <v>0.5</v>
      </c>
      <c r="N70" s="15">
        <f>K70*L70</f>
        <v>15</v>
      </c>
      <c r="O70" s="3">
        <v>1</v>
      </c>
      <c r="P70" s="15">
        <f>O70*30</f>
        <v>30</v>
      </c>
      <c r="Q70" s="17">
        <v>1</v>
      </c>
      <c r="R70" s="15">
        <f>O70*Q70</f>
        <v>1</v>
      </c>
      <c r="S70" s="15">
        <f>P70*Q70</f>
        <v>30</v>
      </c>
      <c r="T70" s="4">
        <f>M70+R70</f>
        <v>1.5</v>
      </c>
      <c r="U70" s="3">
        <f>N70+S70</f>
        <v>45</v>
      </c>
      <c r="V70" s="19"/>
    </row>
    <row r="71" spans="1:22" x14ac:dyDescent="0.3">
      <c r="A71" s="7"/>
      <c r="B71" s="63"/>
      <c r="C71" s="13" t="s">
        <v>18</v>
      </c>
      <c r="D71" s="65"/>
      <c r="E71" s="65"/>
      <c r="F71" s="65"/>
      <c r="G71" s="66"/>
      <c r="H71" s="15">
        <v>120</v>
      </c>
      <c r="I71" s="15">
        <v>45</v>
      </c>
      <c r="J71" s="3">
        <v>0.5</v>
      </c>
      <c r="K71" s="15">
        <f>J71*30</f>
        <v>15</v>
      </c>
      <c r="L71" s="17">
        <v>1</v>
      </c>
      <c r="M71" s="15">
        <f>J71*L71</f>
        <v>0.5</v>
      </c>
      <c r="N71" s="15">
        <f>K71*L71</f>
        <v>15</v>
      </c>
      <c r="O71" s="3">
        <v>1</v>
      </c>
      <c r="P71" s="15">
        <f>O71*30</f>
        <v>30</v>
      </c>
      <c r="Q71" s="17">
        <v>1</v>
      </c>
      <c r="R71" s="15">
        <f>O71*Q71</f>
        <v>1</v>
      </c>
      <c r="S71" s="15">
        <f>P71*Q71</f>
        <v>30</v>
      </c>
      <c r="T71" s="4">
        <f>M71+R71</f>
        <v>1.5</v>
      </c>
      <c r="U71" s="3">
        <f>N71+S71</f>
        <v>45</v>
      </c>
      <c r="V71" s="19"/>
    </row>
    <row r="72" spans="1:22" x14ac:dyDescent="0.3">
      <c r="A72" s="7"/>
      <c r="B72" s="62" t="s">
        <v>259</v>
      </c>
      <c r="C72" s="13" t="s">
        <v>17</v>
      </c>
      <c r="D72" s="65"/>
      <c r="E72" s="65"/>
      <c r="F72" s="65"/>
      <c r="G72" s="64">
        <v>4</v>
      </c>
      <c r="H72" s="15">
        <v>120</v>
      </c>
      <c r="I72" s="15">
        <v>45</v>
      </c>
      <c r="J72" s="3">
        <v>0</v>
      </c>
      <c r="K72" s="15">
        <f t="shared" ref="K72:K134" si="8">J72*30</f>
        <v>0</v>
      </c>
      <c r="L72" s="17">
        <v>0</v>
      </c>
      <c r="M72" s="15">
        <f t="shared" ref="M72:M135" si="9">J72*L72</f>
        <v>0</v>
      </c>
      <c r="N72" s="15">
        <f t="shared" ref="N72:N135" si="10">K72*L72</f>
        <v>0</v>
      </c>
      <c r="O72" s="3">
        <v>1.5</v>
      </c>
      <c r="P72" s="15">
        <f t="shared" ref="P72:P134" si="11">O72*30</f>
        <v>45</v>
      </c>
      <c r="Q72" s="17">
        <v>1</v>
      </c>
      <c r="R72" s="15">
        <f t="shared" ref="R72:R135" si="12">O72*Q72</f>
        <v>1.5</v>
      </c>
      <c r="S72" s="15">
        <f t="shared" ref="S72:S135" si="13">P72*Q72</f>
        <v>45</v>
      </c>
      <c r="T72" s="4">
        <f t="shared" ref="T72:T135" si="14">M72+R72</f>
        <v>1.5</v>
      </c>
      <c r="U72" s="3">
        <f t="shared" ref="U72:U135" si="15">N72+S72</f>
        <v>45</v>
      </c>
      <c r="V72" s="19"/>
    </row>
    <row r="73" spans="1:22" x14ac:dyDescent="0.3">
      <c r="A73" s="7"/>
      <c r="B73" s="63"/>
      <c r="C73" s="13" t="s">
        <v>18</v>
      </c>
      <c r="D73" s="65"/>
      <c r="E73" s="65"/>
      <c r="F73" s="65"/>
      <c r="G73" s="66"/>
      <c r="H73" s="15">
        <v>120</v>
      </c>
      <c r="I73" s="15">
        <v>45</v>
      </c>
      <c r="J73" s="3">
        <v>0</v>
      </c>
      <c r="K73" s="15">
        <f t="shared" si="8"/>
        <v>0</v>
      </c>
      <c r="L73" s="17">
        <v>0</v>
      </c>
      <c r="M73" s="15">
        <f t="shared" si="9"/>
        <v>0</v>
      </c>
      <c r="N73" s="15">
        <f t="shared" si="10"/>
        <v>0</v>
      </c>
      <c r="O73" s="3">
        <v>1.5</v>
      </c>
      <c r="P73" s="15">
        <f t="shared" si="11"/>
        <v>45</v>
      </c>
      <c r="Q73" s="17">
        <v>1</v>
      </c>
      <c r="R73" s="15">
        <f t="shared" si="12"/>
        <v>1.5</v>
      </c>
      <c r="S73" s="15">
        <f t="shared" si="13"/>
        <v>45</v>
      </c>
      <c r="T73" s="4">
        <f t="shared" si="14"/>
        <v>1.5</v>
      </c>
      <c r="U73" s="3">
        <f t="shared" si="15"/>
        <v>45</v>
      </c>
      <c r="V73" s="19"/>
    </row>
    <row r="74" spans="1:22" x14ac:dyDescent="0.3">
      <c r="B74" s="62" t="s">
        <v>261</v>
      </c>
      <c r="C74" s="13" t="s">
        <v>17</v>
      </c>
      <c r="D74" s="65"/>
      <c r="E74" s="65"/>
      <c r="F74" s="65"/>
      <c r="G74" s="64">
        <v>4</v>
      </c>
      <c r="H74" s="15">
        <v>120</v>
      </c>
      <c r="I74" s="15">
        <v>45</v>
      </c>
      <c r="J74" s="3">
        <v>0</v>
      </c>
      <c r="K74" s="15">
        <f t="shared" si="8"/>
        <v>0</v>
      </c>
      <c r="L74" s="17">
        <v>0</v>
      </c>
      <c r="M74" s="15">
        <f t="shared" si="9"/>
        <v>0</v>
      </c>
      <c r="N74" s="15">
        <f t="shared" si="10"/>
        <v>0</v>
      </c>
      <c r="O74" s="3">
        <v>1.5</v>
      </c>
      <c r="P74" s="15">
        <f t="shared" si="11"/>
        <v>45</v>
      </c>
      <c r="Q74" s="17">
        <v>1</v>
      </c>
      <c r="R74" s="15">
        <f t="shared" si="12"/>
        <v>1.5</v>
      </c>
      <c r="S74" s="15">
        <f t="shared" si="13"/>
        <v>45</v>
      </c>
      <c r="T74" s="4">
        <f t="shared" si="14"/>
        <v>1.5</v>
      </c>
      <c r="U74" s="3">
        <f t="shared" si="15"/>
        <v>45</v>
      </c>
      <c r="V74" s="19"/>
    </row>
    <row r="75" spans="1:22" x14ac:dyDescent="0.3">
      <c r="B75" s="63"/>
      <c r="C75" s="13" t="s">
        <v>18</v>
      </c>
      <c r="D75" s="65"/>
      <c r="E75" s="65"/>
      <c r="F75" s="65"/>
      <c r="G75" s="66"/>
      <c r="H75" s="15">
        <v>120</v>
      </c>
      <c r="I75" s="15">
        <v>45</v>
      </c>
      <c r="J75" s="3">
        <v>0</v>
      </c>
      <c r="K75" s="15">
        <f t="shared" si="8"/>
        <v>0</v>
      </c>
      <c r="L75" s="17">
        <v>0</v>
      </c>
      <c r="M75" s="15">
        <f t="shared" si="9"/>
        <v>0</v>
      </c>
      <c r="N75" s="15">
        <f t="shared" si="10"/>
        <v>0</v>
      </c>
      <c r="O75" s="3">
        <v>1.5</v>
      </c>
      <c r="P75" s="15">
        <f t="shared" si="11"/>
        <v>45</v>
      </c>
      <c r="Q75" s="17">
        <v>1</v>
      </c>
      <c r="R75" s="15">
        <f t="shared" si="12"/>
        <v>1.5</v>
      </c>
      <c r="S75" s="15">
        <f t="shared" si="13"/>
        <v>45</v>
      </c>
      <c r="T75" s="4">
        <f t="shared" si="14"/>
        <v>1.5</v>
      </c>
      <c r="U75" s="3">
        <f t="shared" si="15"/>
        <v>45</v>
      </c>
      <c r="V75" s="19"/>
    </row>
    <row r="76" spans="1:22" ht="36" x14ac:dyDescent="0.3">
      <c r="B76" s="14" t="s">
        <v>262</v>
      </c>
      <c r="C76" s="13" t="s">
        <v>206</v>
      </c>
      <c r="D76" s="65"/>
      <c r="E76" s="65"/>
      <c r="F76" s="65"/>
      <c r="G76" s="12">
        <v>4</v>
      </c>
      <c r="H76" s="15">
        <v>120</v>
      </c>
      <c r="I76" s="15">
        <v>45</v>
      </c>
      <c r="J76" s="3">
        <v>0</v>
      </c>
      <c r="K76" s="15">
        <f t="shared" si="8"/>
        <v>0</v>
      </c>
      <c r="L76" s="9">
        <v>0</v>
      </c>
      <c r="M76" s="15">
        <f t="shared" si="9"/>
        <v>0</v>
      </c>
      <c r="N76" s="15">
        <f t="shared" si="10"/>
        <v>0</v>
      </c>
      <c r="O76" s="3">
        <v>1.5</v>
      </c>
      <c r="P76" s="15">
        <f t="shared" si="11"/>
        <v>45</v>
      </c>
      <c r="Q76" s="17">
        <v>1</v>
      </c>
      <c r="R76" s="15">
        <f t="shared" si="12"/>
        <v>1.5</v>
      </c>
      <c r="S76" s="15">
        <f t="shared" si="13"/>
        <v>45</v>
      </c>
      <c r="T76" s="4">
        <f t="shared" si="14"/>
        <v>1.5</v>
      </c>
      <c r="U76" s="3">
        <f t="shared" si="15"/>
        <v>45</v>
      </c>
      <c r="V76" s="19"/>
    </row>
    <row r="77" spans="1:22" ht="35.549999999999997" customHeight="1" x14ac:dyDescent="0.3">
      <c r="B77" s="62" t="s">
        <v>263</v>
      </c>
      <c r="C77" s="13" t="s">
        <v>17</v>
      </c>
      <c r="D77" s="65"/>
      <c r="E77" s="65"/>
      <c r="F77" s="65"/>
      <c r="G77" s="64">
        <v>4</v>
      </c>
      <c r="H77" s="15">
        <v>120</v>
      </c>
      <c r="I77" s="15">
        <v>45</v>
      </c>
      <c r="J77" s="3">
        <v>0</v>
      </c>
      <c r="K77" s="15">
        <f t="shared" si="8"/>
        <v>0</v>
      </c>
      <c r="L77" s="17">
        <v>0</v>
      </c>
      <c r="M77" s="15">
        <f t="shared" si="9"/>
        <v>0</v>
      </c>
      <c r="N77" s="15">
        <f t="shared" si="10"/>
        <v>0</v>
      </c>
      <c r="O77" s="3">
        <v>1.5</v>
      </c>
      <c r="P77" s="15">
        <f t="shared" si="11"/>
        <v>45</v>
      </c>
      <c r="Q77" s="17">
        <v>1</v>
      </c>
      <c r="R77" s="15">
        <f t="shared" si="12"/>
        <v>1.5</v>
      </c>
      <c r="S77" s="15">
        <f t="shared" si="13"/>
        <v>45</v>
      </c>
      <c r="T77" s="4">
        <f t="shared" si="14"/>
        <v>1.5</v>
      </c>
      <c r="U77" s="3">
        <f t="shared" si="15"/>
        <v>45</v>
      </c>
      <c r="V77" s="19"/>
    </row>
    <row r="78" spans="1:22" ht="36.6" customHeight="1" x14ac:dyDescent="0.3">
      <c r="B78" s="63"/>
      <c r="C78" s="13" t="s">
        <v>18</v>
      </c>
      <c r="D78" s="65"/>
      <c r="E78" s="65"/>
      <c r="F78" s="65"/>
      <c r="G78" s="66"/>
      <c r="H78" s="15">
        <v>120</v>
      </c>
      <c r="I78" s="15">
        <v>45</v>
      </c>
      <c r="J78" s="3">
        <v>0</v>
      </c>
      <c r="K78" s="15">
        <f t="shared" si="8"/>
        <v>0</v>
      </c>
      <c r="L78" s="17">
        <v>0</v>
      </c>
      <c r="M78" s="15">
        <f t="shared" si="9"/>
        <v>0</v>
      </c>
      <c r="N78" s="15">
        <f t="shared" si="10"/>
        <v>0</v>
      </c>
      <c r="O78" s="3">
        <v>1.5</v>
      </c>
      <c r="P78" s="15">
        <f t="shared" si="11"/>
        <v>45</v>
      </c>
      <c r="Q78" s="17">
        <v>1</v>
      </c>
      <c r="R78" s="15">
        <f t="shared" si="12"/>
        <v>1.5</v>
      </c>
      <c r="S78" s="15">
        <f t="shared" si="13"/>
        <v>45</v>
      </c>
      <c r="T78" s="4">
        <f t="shared" si="14"/>
        <v>1.5</v>
      </c>
      <c r="U78" s="3">
        <f t="shared" si="15"/>
        <v>45</v>
      </c>
      <c r="V78" s="19"/>
    </row>
    <row r="79" spans="1:22" x14ac:dyDescent="0.3">
      <c r="B79" s="62" t="s">
        <v>264</v>
      </c>
      <c r="C79" s="13" t="s">
        <v>17</v>
      </c>
      <c r="D79" s="65"/>
      <c r="E79" s="65"/>
      <c r="F79" s="65"/>
      <c r="G79" s="64">
        <v>5</v>
      </c>
      <c r="H79" s="15">
        <v>150</v>
      </c>
      <c r="I79" s="15">
        <v>45</v>
      </c>
      <c r="J79" s="3">
        <v>0</v>
      </c>
      <c r="K79" s="15">
        <f t="shared" si="8"/>
        <v>0</v>
      </c>
      <c r="L79" s="9">
        <v>0</v>
      </c>
      <c r="M79" s="15">
        <f t="shared" si="9"/>
        <v>0</v>
      </c>
      <c r="N79" s="15">
        <f t="shared" si="10"/>
        <v>0</v>
      </c>
      <c r="O79" s="3">
        <v>1.5</v>
      </c>
      <c r="P79" s="15">
        <f t="shared" si="11"/>
        <v>45</v>
      </c>
      <c r="Q79" s="17">
        <v>1</v>
      </c>
      <c r="R79" s="15">
        <f t="shared" si="12"/>
        <v>1.5</v>
      </c>
      <c r="S79" s="15">
        <f t="shared" si="13"/>
        <v>45</v>
      </c>
      <c r="T79" s="4">
        <f t="shared" si="14"/>
        <v>1.5</v>
      </c>
      <c r="U79" s="3">
        <f t="shared" si="15"/>
        <v>45</v>
      </c>
      <c r="V79" s="19"/>
    </row>
    <row r="80" spans="1:22" x14ac:dyDescent="0.3">
      <c r="B80" s="63"/>
      <c r="C80" s="13" t="s">
        <v>18</v>
      </c>
      <c r="D80" s="65"/>
      <c r="E80" s="65"/>
      <c r="F80" s="65"/>
      <c r="G80" s="66"/>
      <c r="H80" s="15">
        <v>150</v>
      </c>
      <c r="I80" s="15">
        <v>45</v>
      </c>
      <c r="J80" s="3">
        <v>0</v>
      </c>
      <c r="K80" s="15">
        <f t="shared" si="8"/>
        <v>0</v>
      </c>
      <c r="L80" s="9">
        <v>0</v>
      </c>
      <c r="M80" s="15">
        <f t="shared" si="9"/>
        <v>0</v>
      </c>
      <c r="N80" s="15">
        <f t="shared" si="10"/>
        <v>0</v>
      </c>
      <c r="O80" s="3">
        <v>1.5</v>
      </c>
      <c r="P80" s="15">
        <f t="shared" si="11"/>
        <v>45</v>
      </c>
      <c r="Q80" s="17">
        <v>1</v>
      </c>
      <c r="R80" s="15">
        <f t="shared" si="12"/>
        <v>1.5</v>
      </c>
      <c r="S80" s="15">
        <f t="shared" si="13"/>
        <v>45</v>
      </c>
      <c r="T80" s="4">
        <f t="shared" si="14"/>
        <v>1.5</v>
      </c>
      <c r="U80" s="3">
        <f t="shared" si="15"/>
        <v>45</v>
      </c>
      <c r="V80" s="19"/>
    </row>
    <row r="81" spans="1:22" x14ac:dyDescent="0.35">
      <c r="A81" s="8"/>
      <c r="B81" s="62" t="s">
        <v>111</v>
      </c>
      <c r="C81" s="13" t="s">
        <v>17</v>
      </c>
      <c r="D81" s="65"/>
      <c r="E81" s="65"/>
      <c r="F81" s="65"/>
      <c r="G81" s="87">
        <v>5</v>
      </c>
      <c r="H81" s="15">
        <v>150</v>
      </c>
      <c r="I81" s="15">
        <v>45</v>
      </c>
      <c r="J81" s="3">
        <v>0</v>
      </c>
      <c r="K81" s="15">
        <f t="shared" si="8"/>
        <v>0</v>
      </c>
      <c r="L81" s="9">
        <v>0</v>
      </c>
      <c r="M81" s="15">
        <f t="shared" si="9"/>
        <v>0</v>
      </c>
      <c r="N81" s="15">
        <f t="shared" si="10"/>
        <v>0</v>
      </c>
      <c r="O81" s="3">
        <v>1.5</v>
      </c>
      <c r="P81" s="15">
        <f t="shared" si="11"/>
        <v>45</v>
      </c>
      <c r="Q81" s="17">
        <v>1</v>
      </c>
      <c r="R81" s="15">
        <f t="shared" si="12"/>
        <v>1.5</v>
      </c>
      <c r="S81" s="15">
        <f t="shared" si="13"/>
        <v>45</v>
      </c>
      <c r="T81" s="4">
        <f t="shared" si="14"/>
        <v>1.5</v>
      </c>
      <c r="U81" s="3">
        <f t="shared" si="15"/>
        <v>45</v>
      </c>
      <c r="V81" s="10"/>
    </row>
    <row r="82" spans="1:22" x14ac:dyDescent="0.35">
      <c r="A82" s="8"/>
      <c r="B82" s="63"/>
      <c r="C82" s="13" t="s">
        <v>18</v>
      </c>
      <c r="D82" s="66"/>
      <c r="E82" s="66"/>
      <c r="F82" s="66"/>
      <c r="G82" s="88"/>
      <c r="H82" s="15">
        <v>150</v>
      </c>
      <c r="I82" s="15">
        <v>45</v>
      </c>
      <c r="J82" s="3">
        <v>0</v>
      </c>
      <c r="K82" s="15">
        <f t="shared" si="8"/>
        <v>0</v>
      </c>
      <c r="L82" s="9">
        <v>0</v>
      </c>
      <c r="M82" s="15">
        <f t="shared" si="9"/>
        <v>0</v>
      </c>
      <c r="N82" s="15">
        <f t="shared" si="10"/>
        <v>0</v>
      </c>
      <c r="O82" s="3">
        <v>1.5</v>
      </c>
      <c r="P82" s="15">
        <f t="shared" si="11"/>
        <v>45</v>
      </c>
      <c r="Q82" s="17">
        <v>1</v>
      </c>
      <c r="R82" s="15">
        <f t="shared" si="12"/>
        <v>1.5</v>
      </c>
      <c r="S82" s="15">
        <f t="shared" si="13"/>
        <v>45</v>
      </c>
      <c r="T82" s="4">
        <f t="shared" si="14"/>
        <v>1.5</v>
      </c>
      <c r="U82" s="3">
        <f t="shared" si="15"/>
        <v>45</v>
      </c>
      <c r="V82" s="20"/>
    </row>
    <row r="83" spans="1:22" x14ac:dyDescent="0.35">
      <c r="A83" s="8"/>
      <c r="B83" s="14" t="s">
        <v>270</v>
      </c>
      <c r="C83" s="64" t="s">
        <v>17</v>
      </c>
      <c r="D83" s="64">
        <v>11</v>
      </c>
      <c r="E83" s="64"/>
      <c r="F83" s="64" t="s">
        <v>273</v>
      </c>
      <c r="G83" s="16">
        <v>5</v>
      </c>
      <c r="H83" s="15">
        <v>150</v>
      </c>
      <c r="I83" s="15">
        <v>45</v>
      </c>
      <c r="J83" s="3">
        <v>0</v>
      </c>
      <c r="K83" s="15">
        <f t="shared" si="8"/>
        <v>0</v>
      </c>
      <c r="L83" s="9">
        <v>0</v>
      </c>
      <c r="M83" s="15">
        <f t="shared" si="9"/>
        <v>0</v>
      </c>
      <c r="N83" s="15">
        <f t="shared" si="10"/>
        <v>0</v>
      </c>
      <c r="O83" s="3">
        <v>1.5</v>
      </c>
      <c r="P83" s="15">
        <f t="shared" si="11"/>
        <v>45</v>
      </c>
      <c r="Q83" s="17">
        <v>1</v>
      </c>
      <c r="R83" s="15">
        <f t="shared" si="12"/>
        <v>1.5</v>
      </c>
      <c r="S83" s="15">
        <f t="shared" si="13"/>
        <v>45</v>
      </c>
      <c r="T83" s="4">
        <f t="shared" si="14"/>
        <v>1.5</v>
      </c>
      <c r="U83" s="3">
        <f t="shared" si="15"/>
        <v>45</v>
      </c>
      <c r="V83" s="10"/>
    </row>
    <row r="84" spans="1:22" x14ac:dyDescent="0.3">
      <c r="A84" s="7"/>
      <c r="B84" s="14" t="s">
        <v>271</v>
      </c>
      <c r="C84" s="65"/>
      <c r="D84" s="65"/>
      <c r="E84" s="65"/>
      <c r="F84" s="65"/>
      <c r="G84" s="12">
        <v>5</v>
      </c>
      <c r="H84" s="15">
        <v>150</v>
      </c>
      <c r="I84" s="15">
        <v>45</v>
      </c>
      <c r="J84" s="3">
        <v>0.5</v>
      </c>
      <c r="K84" s="15">
        <f t="shared" si="8"/>
        <v>15</v>
      </c>
      <c r="L84" s="17">
        <v>1</v>
      </c>
      <c r="M84" s="15">
        <f t="shared" si="9"/>
        <v>0.5</v>
      </c>
      <c r="N84" s="15">
        <f t="shared" si="10"/>
        <v>15</v>
      </c>
      <c r="O84" s="3">
        <v>1</v>
      </c>
      <c r="P84" s="15">
        <f t="shared" si="11"/>
        <v>30</v>
      </c>
      <c r="Q84" s="17">
        <v>1</v>
      </c>
      <c r="R84" s="15">
        <f t="shared" si="12"/>
        <v>1</v>
      </c>
      <c r="S84" s="15">
        <f t="shared" si="13"/>
        <v>30</v>
      </c>
      <c r="T84" s="4">
        <f t="shared" si="14"/>
        <v>1.5</v>
      </c>
      <c r="U84" s="3">
        <f t="shared" si="15"/>
        <v>45</v>
      </c>
      <c r="V84" s="19"/>
    </row>
    <row r="85" spans="1:22" ht="56.55" customHeight="1" x14ac:dyDescent="0.3">
      <c r="A85" s="7"/>
      <c r="B85" s="14" t="s">
        <v>272</v>
      </c>
      <c r="C85" s="65"/>
      <c r="D85" s="65"/>
      <c r="E85" s="65"/>
      <c r="F85" s="65"/>
      <c r="G85" s="12">
        <v>5</v>
      </c>
      <c r="H85" s="15">
        <v>150</v>
      </c>
      <c r="I85" s="15">
        <v>45</v>
      </c>
      <c r="J85" s="3">
        <v>0.5</v>
      </c>
      <c r="K85" s="15">
        <f t="shared" si="8"/>
        <v>15</v>
      </c>
      <c r="L85" s="17">
        <v>1</v>
      </c>
      <c r="M85" s="15">
        <f t="shared" si="9"/>
        <v>0.5</v>
      </c>
      <c r="N85" s="15">
        <f t="shared" si="10"/>
        <v>15</v>
      </c>
      <c r="O85" s="3">
        <v>1</v>
      </c>
      <c r="P85" s="15">
        <f t="shared" si="11"/>
        <v>30</v>
      </c>
      <c r="Q85" s="17">
        <v>1</v>
      </c>
      <c r="R85" s="15">
        <f t="shared" si="12"/>
        <v>1</v>
      </c>
      <c r="S85" s="15">
        <f t="shared" si="13"/>
        <v>30</v>
      </c>
      <c r="T85" s="4">
        <f t="shared" si="14"/>
        <v>1.5</v>
      </c>
      <c r="U85" s="3">
        <f t="shared" si="15"/>
        <v>45</v>
      </c>
      <c r="V85" s="19"/>
    </row>
    <row r="86" spans="1:22" x14ac:dyDescent="0.3">
      <c r="A86" s="7"/>
      <c r="B86" s="14" t="s">
        <v>34</v>
      </c>
      <c r="C86" s="65"/>
      <c r="D86" s="65"/>
      <c r="E86" s="65"/>
      <c r="F86" s="65"/>
      <c r="G86" s="12">
        <v>4</v>
      </c>
      <c r="H86" s="15">
        <v>120</v>
      </c>
      <c r="I86" s="15">
        <v>45</v>
      </c>
      <c r="J86" s="3">
        <v>0</v>
      </c>
      <c r="K86" s="15">
        <f t="shared" si="8"/>
        <v>0</v>
      </c>
      <c r="L86" s="9">
        <v>0</v>
      </c>
      <c r="M86" s="15">
        <f t="shared" si="9"/>
        <v>0</v>
      </c>
      <c r="N86" s="15">
        <f t="shared" si="10"/>
        <v>0</v>
      </c>
      <c r="O86" s="3">
        <v>1.5</v>
      </c>
      <c r="P86" s="15">
        <f t="shared" si="11"/>
        <v>45</v>
      </c>
      <c r="Q86" s="17">
        <v>1</v>
      </c>
      <c r="R86" s="15">
        <f t="shared" si="12"/>
        <v>1.5</v>
      </c>
      <c r="S86" s="15">
        <f t="shared" si="13"/>
        <v>45</v>
      </c>
      <c r="T86" s="4">
        <f t="shared" si="14"/>
        <v>1.5</v>
      </c>
      <c r="U86" s="3">
        <f t="shared" si="15"/>
        <v>45</v>
      </c>
      <c r="V86" s="19"/>
    </row>
    <row r="87" spans="1:22" ht="76.95" customHeight="1" x14ac:dyDescent="0.3">
      <c r="A87" s="7"/>
      <c r="B87" s="14" t="s">
        <v>413</v>
      </c>
      <c r="C87" s="66"/>
      <c r="D87" s="65"/>
      <c r="E87" s="65"/>
      <c r="F87" s="65"/>
      <c r="G87" s="12">
        <v>4</v>
      </c>
      <c r="H87" s="15">
        <v>120</v>
      </c>
      <c r="I87" s="15">
        <v>45</v>
      </c>
      <c r="J87" s="3">
        <v>0</v>
      </c>
      <c r="K87" s="15">
        <f t="shared" si="8"/>
        <v>0</v>
      </c>
      <c r="L87" s="9">
        <v>0</v>
      </c>
      <c r="M87" s="15">
        <f t="shared" si="9"/>
        <v>0</v>
      </c>
      <c r="N87" s="15">
        <f t="shared" si="10"/>
        <v>0</v>
      </c>
      <c r="O87" s="3">
        <v>1.5</v>
      </c>
      <c r="P87" s="15">
        <f t="shared" si="11"/>
        <v>45</v>
      </c>
      <c r="Q87" s="17">
        <v>1</v>
      </c>
      <c r="R87" s="15">
        <f t="shared" si="12"/>
        <v>1.5</v>
      </c>
      <c r="S87" s="15">
        <f t="shared" si="13"/>
        <v>45</v>
      </c>
      <c r="T87" s="4">
        <f t="shared" si="14"/>
        <v>1.5</v>
      </c>
      <c r="U87" s="3">
        <f t="shared" si="15"/>
        <v>45</v>
      </c>
      <c r="V87" s="19"/>
    </row>
    <row r="88" spans="1:22" x14ac:dyDescent="0.3">
      <c r="A88" s="7"/>
      <c r="B88" s="62" t="s">
        <v>35</v>
      </c>
      <c r="C88" s="13" t="s">
        <v>17</v>
      </c>
      <c r="D88" s="64">
        <v>114</v>
      </c>
      <c r="E88" s="64">
        <v>14</v>
      </c>
      <c r="F88" s="64" t="s">
        <v>281</v>
      </c>
      <c r="G88" s="64">
        <v>4</v>
      </c>
      <c r="H88" s="15">
        <v>120</v>
      </c>
      <c r="I88" s="15">
        <v>45</v>
      </c>
      <c r="J88" s="3">
        <v>0</v>
      </c>
      <c r="K88" s="15">
        <f t="shared" si="8"/>
        <v>0</v>
      </c>
      <c r="L88" s="9">
        <v>0</v>
      </c>
      <c r="M88" s="15">
        <f t="shared" si="9"/>
        <v>0</v>
      </c>
      <c r="N88" s="15">
        <f t="shared" si="10"/>
        <v>0</v>
      </c>
      <c r="O88" s="3">
        <v>1.5</v>
      </c>
      <c r="P88" s="15">
        <f t="shared" si="11"/>
        <v>45</v>
      </c>
      <c r="Q88" s="17">
        <v>5</v>
      </c>
      <c r="R88" s="15">
        <f t="shared" si="12"/>
        <v>7.5</v>
      </c>
      <c r="S88" s="15">
        <f t="shared" si="13"/>
        <v>225</v>
      </c>
      <c r="T88" s="4">
        <f t="shared" si="14"/>
        <v>7.5</v>
      </c>
      <c r="U88" s="3">
        <f t="shared" si="15"/>
        <v>225</v>
      </c>
      <c r="V88" s="19"/>
    </row>
    <row r="89" spans="1:22" x14ac:dyDescent="0.3">
      <c r="A89" s="7"/>
      <c r="B89" s="63"/>
      <c r="C89" s="13" t="s">
        <v>18</v>
      </c>
      <c r="D89" s="65"/>
      <c r="E89" s="65"/>
      <c r="F89" s="65"/>
      <c r="G89" s="66"/>
      <c r="H89" s="15">
        <v>120</v>
      </c>
      <c r="I89" s="15">
        <v>45</v>
      </c>
      <c r="J89" s="3">
        <v>0</v>
      </c>
      <c r="K89" s="15">
        <f t="shared" si="8"/>
        <v>0</v>
      </c>
      <c r="L89" s="9">
        <v>0</v>
      </c>
      <c r="M89" s="15">
        <f t="shared" si="9"/>
        <v>0</v>
      </c>
      <c r="N89" s="15">
        <f t="shared" si="10"/>
        <v>0</v>
      </c>
      <c r="O89" s="3">
        <v>1.5</v>
      </c>
      <c r="P89" s="15">
        <f t="shared" si="11"/>
        <v>45</v>
      </c>
      <c r="Q89" s="17">
        <v>1</v>
      </c>
      <c r="R89" s="15">
        <f t="shared" si="12"/>
        <v>1.5</v>
      </c>
      <c r="S89" s="15">
        <f t="shared" si="13"/>
        <v>45</v>
      </c>
      <c r="T89" s="4">
        <f t="shared" si="14"/>
        <v>1.5</v>
      </c>
      <c r="U89" s="3">
        <f t="shared" si="15"/>
        <v>45</v>
      </c>
      <c r="V89" s="19"/>
    </row>
    <row r="90" spans="1:22" x14ac:dyDescent="0.3">
      <c r="A90" s="7"/>
      <c r="B90" s="62" t="s">
        <v>277</v>
      </c>
      <c r="C90" s="13" t="s">
        <v>17</v>
      </c>
      <c r="D90" s="65"/>
      <c r="E90" s="65"/>
      <c r="F90" s="65"/>
      <c r="G90" s="64">
        <v>4</v>
      </c>
      <c r="H90" s="15">
        <v>120</v>
      </c>
      <c r="I90" s="15">
        <v>45</v>
      </c>
      <c r="J90" s="3">
        <v>0.5</v>
      </c>
      <c r="K90" s="15">
        <f t="shared" si="8"/>
        <v>15</v>
      </c>
      <c r="L90" s="17">
        <v>2</v>
      </c>
      <c r="M90" s="15">
        <f t="shared" si="9"/>
        <v>1</v>
      </c>
      <c r="N90" s="15">
        <f t="shared" si="10"/>
        <v>30</v>
      </c>
      <c r="O90" s="3">
        <v>1</v>
      </c>
      <c r="P90" s="15">
        <f t="shared" si="11"/>
        <v>30</v>
      </c>
      <c r="Q90" s="17">
        <v>5</v>
      </c>
      <c r="R90" s="15">
        <f t="shared" si="12"/>
        <v>5</v>
      </c>
      <c r="S90" s="15">
        <f t="shared" si="13"/>
        <v>150</v>
      </c>
      <c r="T90" s="4">
        <f t="shared" si="14"/>
        <v>6</v>
      </c>
      <c r="U90" s="3">
        <f t="shared" si="15"/>
        <v>180</v>
      </c>
      <c r="V90" s="19"/>
    </row>
    <row r="91" spans="1:22" x14ac:dyDescent="0.3">
      <c r="A91" s="7"/>
      <c r="B91" s="63"/>
      <c r="C91" s="13" t="s">
        <v>18</v>
      </c>
      <c r="D91" s="65"/>
      <c r="E91" s="65"/>
      <c r="F91" s="65"/>
      <c r="G91" s="66"/>
      <c r="H91" s="15">
        <v>120</v>
      </c>
      <c r="I91" s="15">
        <v>45</v>
      </c>
      <c r="J91" s="3">
        <v>0.5</v>
      </c>
      <c r="K91" s="15">
        <f t="shared" si="8"/>
        <v>15</v>
      </c>
      <c r="L91" s="17">
        <v>1</v>
      </c>
      <c r="M91" s="15">
        <f t="shared" si="9"/>
        <v>0.5</v>
      </c>
      <c r="N91" s="15">
        <f t="shared" si="10"/>
        <v>15</v>
      </c>
      <c r="O91" s="3">
        <v>1</v>
      </c>
      <c r="P91" s="15">
        <f t="shared" si="11"/>
        <v>30</v>
      </c>
      <c r="Q91" s="17">
        <v>1</v>
      </c>
      <c r="R91" s="15">
        <f t="shared" si="12"/>
        <v>1</v>
      </c>
      <c r="S91" s="15">
        <f t="shared" si="13"/>
        <v>30</v>
      </c>
      <c r="T91" s="4">
        <f t="shared" si="14"/>
        <v>1.5</v>
      </c>
      <c r="U91" s="3">
        <f t="shared" si="15"/>
        <v>45</v>
      </c>
      <c r="V91" s="19"/>
    </row>
    <row r="92" spans="1:22" x14ac:dyDescent="0.3">
      <c r="A92" s="7"/>
      <c r="B92" s="62" t="s">
        <v>278</v>
      </c>
      <c r="C92" s="13" t="s">
        <v>17</v>
      </c>
      <c r="D92" s="65"/>
      <c r="E92" s="65"/>
      <c r="F92" s="65"/>
      <c r="G92" s="64">
        <v>5</v>
      </c>
      <c r="H92" s="15">
        <v>150</v>
      </c>
      <c r="I92" s="15">
        <v>45</v>
      </c>
      <c r="J92" s="3">
        <v>0.5</v>
      </c>
      <c r="K92" s="15">
        <f t="shared" si="8"/>
        <v>15</v>
      </c>
      <c r="L92" s="17">
        <v>2</v>
      </c>
      <c r="M92" s="15">
        <f t="shared" si="9"/>
        <v>1</v>
      </c>
      <c r="N92" s="15">
        <f t="shared" si="10"/>
        <v>30</v>
      </c>
      <c r="O92" s="3">
        <v>1</v>
      </c>
      <c r="P92" s="15">
        <f t="shared" si="11"/>
        <v>30</v>
      </c>
      <c r="Q92" s="17">
        <v>5</v>
      </c>
      <c r="R92" s="15">
        <f t="shared" si="12"/>
        <v>5</v>
      </c>
      <c r="S92" s="15">
        <f t="shared" si="13"/>
        <v>150</v>
      </c>
      <c r="T92" s="4">
        <f t="shared" si="14"/>
        <v>6</v>
      </c>
      <c r="U92" s="3">
        <f t="shared" si="15"/>
        <v>180</v>
      </c>
      <c r="V92" s="19"/>
    </row>
    <row r="93" spans="1:22" x14ac:dyDescent="0.3">
      <c r="A93" s="7"/>
      <c r="B93" s="63"/>
      <c r="C93" s="13" t="s">
        <v>18</v>
      </c>
      <c r="D93" s="65"/>
      <c r="E93" s="65"/>
      <c r="F93" s="65"/>
      <c r="G93" s="66"/>
      <c r="H93" s="15">
        <v>150</v>
      </c>
      <c r="I93" s="15">
        <v>45</v>
      </c>
      <c r="J93" s="3">
        <v>0.5</v>
      </c>
      <c r="K93" s="15">
        <f t="shared" si="8"/>
        <v>15</v>
      </c>
      <c r="L93" s="17">
        <v>1</v>
      </c>
      <c r="M93" s="15">
        <f t="shared" si="9"/>
        <v>0.5</v>
      </c>
      <c r="N93" s="15">
        <f t="shared" si="10"/>
        <v>15</v>
      </c>
      <c r="O93" s="3">
        <v>1</v>
      </c>
      <c r="P93" s="15">
        <f t="shared" si="11"/>
        <v>30</v>
      </c>
      <c r="Q93" s="17">
        <v>1</v>
      </c>
      <c r="R93" s="15">
        <f t="shared" si="12"/>
        <v>1</v>
      </c>
      <c r="S93" s="15">
        <f t="shared" si="13"/>
        <v>30</v>
      </c>
      <c r="T93" s="4">
        <f t="shared" si="14"/>
        <v>1.5</v>
      </c>
      <c r="U93" s="3">
        <f t="shared" si="15"/>
        <v>45</v>
      </c>
      <c r="V93" s="19"/>
    </row>
    <row r="94" spans="1:22" x14ac:dyDescent="0.3">
      <c r="A94" s="7"/>
      <c r="B94" s="62" t="s">
        <v>279</v>
      </c>
      <c r="C94" s="13" t="s">
        <v>17</v>
      </c>
      <c r="D94" s="65"/>
      <c r="E94" s="65"/>
      <c r="F94" s="65"/>
      <c r="G94" s="64">
        <v>5</v>
      </c>
      <c r="H94" s="15">
        <v>150</v>
      </c>
      <c r="I94" s="15">
        <v>45</v>
      </c>
      <c r="J94" s="3">
        <v>0.5</v>
      </c>
      <c r="K94" s="15">
        <f t="shared" si="8"/>
        <v>15</v>
      </c>
      <c r="L94" s="17">
        <v>2</v>
      </c>
      <c r="M94" s="15">
        <f t="shared" si="9"/>
        <v>1</v>
      </c>
      <c r="N94" s="15">
        <f t="shared" si="10"/>
        <v>30</v>
      </c>
      <c r="O94" s="3">
        <v>1</v>
      </c>
      <c r="P94" s="15">
        <f t="shared" si="11"/>
        <v>30</v>
      </c>
      <c r="Q94" s="17">
        <v>5</v>
      </c>
      <c r="R94" s="15">
        <f t="shared" si="12"/>
        <v>5</v>
      </c>
      <c r="S94" s="15">
        <f t="shared" si="13"/>
        <v>150</v>
      </c>
      <c r="T94" s="4">
        <f t="shared" si="14"/>
        <v>6</v>
      </c>
      <c r="U94" s="3">
        <f t="shared" si="15"/>
        <v>180</v>
      </c>
      <c r="V94" s="19"/>
    </row>
    <row r="95" spans="1:22" x14ac:dyDescent="0.3">
      <c r="A95" s="7"/>
      <c r="B95" s="63"/>
      <c r="C95" s="13" t="s">
        <v>18</v>
      </c>
      <c r="D95" s="65"/>
      <c r="E95" s="65"/>
      <c r="F95" s="65"/>
      <c r="G95" s="66"/>
      <c r="H95" s="15">
        <v>150</v>
      </c>
      <c r="I95" s="15">
        <v>45</v>
      </c>
      <c r="J95" s="3">
        <v>0.5</v>
      </c>
      <c r="K95" s="15">
        <f t="shared" si="8"/>
        <v>15</v>
      </c>
      <c r="L95" s="17">
        <v>1</v>
      </c>
      <c r="M95" s="15">
        <f t="shared" si="9"/>
        <v>0.5</v>
      </c>
      <c r="N95" s="15">
        <f t="shared" si="10"/>
        <v>15</v>
      </c>
      <c r="O95" s="3">
        <v>1</v>
      </c>
      <c r="P95" s="15">
        <f t="shared" si="11"/>
        <v>30</v>
      </c>
      <c r="Q95" s="17">
        <v>1</v>
      </c>
      <c r="R95" s="15">
        <f t="shared" si="12"/>
        <v>1</v>
      </c>
      <c r="S95" s="15">
        <f t="shared" si="13"/>
        <v>30</v>
      </c>
      <c r="T95" s="4">
        <f t="shared" si="14"/>
        <v>1.5</v>
      </c>
      <c r="U95" s="3">
        <f t="shared" si="15"/>
        <v>45</v>
      </c>
      <c r="V95" s="19"/>
    </row>
    <row r="96" spans="1:22" x14ac:dyDescent="0.3">
      <c r="B96" s="62" t="s">
        <v>280</v>
      </c>
      <c r="C96" s="13" t="s">
        <v>17</v>
      </c>
      <c r="D96" s="65"/>
      <c r="E96" s="65"/>
      <c r="F96" s="65"/>
      <c r="G96" s="64">
        <v>5</v>
      </c>
      <c r="H96" s="15">
        <v>150</v>
      </c>
      <c r="I96" s="15">
        <v>45</v>
      </c>
      <c r="J96" s="3">
        <v>0.5</v>
      </c>
      <c r="K96" s="15">
        <f t="shared" si="8"/>
        <v>15</v>
      </c>
      <c r="L96" s="17">
        <v>2</v>
      </c>
      <c r="M96" s="15">
        <f t="shared" si="9"/>
        <v>1</v>
      </c>
      <c r="N96" s="15">
        <f t="shared" si="10"/>
        <v>30</v>
      </c>
      <c r="O96" s="3">
        <v>1</v>
      </c>
      <c r="P96" s="15">
        <f t="shared" si="11"/>
        <v>30</v>
      </c>
      <c r="Q96" s="17">
        <v>5</v>
      </c>
      <c r="R96" s="15">
        <f t="shared" si="12"/>
        <v>5</v>
      </c>
      <c r="S96" s="15">
        <f t="shared" si="13"/>
        <v>150</v>
      </c>
      <c r="T96" s="4">
        <f t="shared" si="14"/>
        <v>6</v>
      </c>
      <c r="U96" s="3">
        <f t="shared" si="15"/>
        <v>180</v>
      </c>
      <c r="V96" s="19"/>
    </row>
    <row r="97" spans="1:23" x14ac:dyDescent="0.3">
      <c r="B97" s="63"/>
      <c r="C97" s="13" t="s">
        <v>18</v>
      </c>
      <c r="D97" s="66"/>
      <c r="E97" s="66"/>
      <c r="F97" s="66"/>
      <c r="G97" s="66"/>
      <c r="H97" s="15">
        <v>150</v>
      </c>
      <c r="I97" s="15">
        <v>45</v>
      </c>
      <c r="J97" s="3">
        <v>0.5</v>
      </c>
      <c r="K97" s="15">
        <f t="shared" si="8"/>
        <v>15</v>
      </c>
      <c r="L97" s="17">
        <v>1</v>
      </c>
      <c r="M97" s="15">
        <f t="shared" si="9"/>
        <v>0.5</v>
      </c>
      <c r="N97" s="15">
        <f t="shared" si="10"/>
        <v>15</v>
      </c>
      <c r="O97" s="3">
        <v>1</v>
      </c>
      <c r="P97" s="15">
        <f t="shared" si="11"/>
        <v>30</v>
      </c>
      <c r="Q97" s="17">
        <v>1</v>
      </c>
      <c r="R97" s="15">
        <f t="shared" si="12"/>
        <v>1</v>
      </c>
      <c r="S97" s="15">
        <f t="shared" si="13"/>
        <v>30</v>
      </c>
      <c r="T97" s="4">
        <f t="shared" si="14"/>
        <v>1.5</v>
      </c>
      <c r="U97" s="3">
        <f t="shared" si="15"/>
        <v>45</v>
      </c>
      <c r="V97" s="19"/>
    </row>
    <row r="98" spans="1:23" x14ac:dyDescent="0.3">
      <c r="B98" s="14" t="s">
        <v>287</v>
      </c>
      <c r="C98" s="64" t="s">
        <v>17</v>
      </c>
      <c r="D98" s="64">
        <v>29</v>
      </c>
      <c r="E98" s="64"/>
      <c r="F98" s="64" t="s">
        <v>22</v>
      </c>
      <c r="G98" s="12">
        <v>5</v>
      </c>
      <c r="H98" s="15">
        <v>150</v>
      </c>
      <c r="I98" s="15">
        <v>45</v>
      </c>
      <c r="J98" s="3">
        <v>0.5</v>
      </c>
      <c r="K98" s="15">
        <f t="shared" si="8"/>
        <v>15</v>
      </c>
      <c r="L98" s="17">
        <v>1</v>
      </c>
      <c r="M98" s="15">
        <f t="shared" si="9"/>
        <v>0.5</v>
      </c>
      <c r="N98" s="15">
        <f t="shared" si="10"/>
        <v>15</v>
      </c>
      <c r="O98" s="3">
        <v>1</v>
      </c>
      <c r="P98" s="15">
        <f t="shared" si="11"/>
        <v>30</v>
      </c>
      <c r="Q98" s="17">
        <v>2</v>
      </c>
      <c r="R98" s="15">
        <f t="shared" si="12"/>
        <v>2</v>
      </c>
      <c r="S98" s="15">
        <f t="shared" si="13"/>
        <v>60</v>
      </c>
      <c r="T98" s="4">
        <f t="shared" si="14"/>
        <v>2.5</v>
      </c>
      <c r="U98" s="3">
        <f t="shared" si="15"/>
        <v>75</v>
      </c>
      <c r="V98" s="19" t="s">
        <v>580</v>
      </c>
    </row>
    <row r="99" spans="1:23" x14ac:dyDescent="0.3">
      <c r="B99" s="14" t="s">
        <v>288</v>
      </c>
      <c r="C99" s="65"/>
      <c r="D99" s="65"/>
      <c r="E99" s="65"/>
      <c r="F99" s="65"/>
      <c r="G99" s="12">
        <v>6</v>
      </c>
      <c r="H99" s="15">
        <v>180</v>
      </c>
      <c r="I99" s="15">
        <v>60</v>
      </c>
      <c r="J99" s="3">
        <v>1</v>
      </c>
      <c r="K99" s="15">
        <f t="shared" si="8"/>
        <v>30</v>
      </c>
      <c r="L99" s="17">
        <v>1</v>
      </c>
      <c r="M99" s="15">
        <f t="shared" si="9"/>
        <v>1</v>
      </c>
      <c r="N99" s="15">
        <f t="shared" si="10"/>
        <v>30</v>
      </c>
      <c r="O99" s="3">
        <v>1</v>
      </c>
      <c r="P99" s="15">
        <f t="shared" si="11"/>
        <v>30</v>
      </c>
      <c r="Q99" s="17">
        <v>2</v>
      </c>
      <c r="R99" s="15">
        <f t="shared" si="12"/>
        <v>2</v>
      </c>
      <c r="S99" s="15">
        <f t="shared" si="13"/>
        <v>60</v>
      </c>
      <c r="T99" s="4">
        <f t="shared" si="14"/>
        <v>3</v>
      </c>
      <c r="U99" s="3">
        <f t="shared" si="15"/>
        <v>90</v>
      </c>
      <c r="V99" s="53" t="s">
        <v>591</v>
      </c>
    </row>
    <row r="100" spans="1:23" x14ac:dyDescent="0.3">
      <c r="B100" s="14" t="s">
        <v>289</v>
      </c>
      <c r="C100" s="65"/>
      <c r="D100" s="65"/>
      <c r="E100" s="65"/>
      <c r="F100" s="65"/>
      <c r="G100" s="12">
        <v>6</v>
      </c>
      <c r="H100" s="15">
        <v>180</v>
      </c>
      <c r="I100" s="15">
        <v>60</v>
      </c>
      <c r="J100" s="3">
        <v>1</v>
      </c>
      <c r="K100" s="15">
        <f t="shared" si="8"/>
        <v>30</v>
      </c>
      <c r="L100" s="17">
        <v>1</v>
      </c>
      <c r="M100" s="15">
        <f t="shared" si="9"/>
        <v>1</v>
      </c>
      <c r="N100" s="15">
        <f t="shared" si="10"/>
        <v>30</v>
      </c>
      <c r="O100" s="3">
        <v>1</v>
      </c>
      <c r="P100" s="15">
        <f t="shared" si="11"/>
        <v>30</v>
      </c>
      <c r="Q100" s="17">
        <v>2</v>
      </c>
      <c r="R100" s="15">
        <f t="shared" si="12"/>
        <v>2</v>
      </c>
      <c r="S100" s="15">
        <f t="shared" si="13"/>
        <v>60</v>
      </c>
      <c r="T100" s="4">
        <f t="shared" si="14"/>
        <v>3</v>
      </c>
      <c r="U100" s="3">
        <f t="shared" si="15"/>
        <v>90</v>
      </c>
      <c r="V100" s="19" t="s">
        <v>581</v>
      </c>
    </row>
    <row r="101" spans="1:23" x14ac:dyDescent="0.35">
      <c r="A101" s="8"/>
      <c r="B101" s="14" t="s">
        <v>290</v>
      </c>
      <c r="C101" s="66"/>
      <c r="D101" s="65"/>
      <c r="E101" s="65"/>
      <c r="F101" s="65"/>
      <c r="G101" s="16">
        <v>6</v>
      </c>
      <c r="H101" s="15">
        <v>180</v>
      </c>
      <c r="I101" s="15">
        <v>60</v>
      </c>
      <c r="J101" s="3">
        <v>1</v>
      </c>
      <c r="K101" s="15">
        <f t="shared" si="8"/>
        <v>30</v>
      </c>
      <c r="L101" s="17">
        <v>1</v>
      </c>
      <c r="M101" s="15">
        <f t="shared" si="9"/>
        <v>1</v>
      </c>
      <c r="N101" s="15">
        <f t="shared" si="10"/>
        <v>30</v>
      </c>
      <c r="O101" s="3">
        <v>1</v>
      </c>
      <c r="P101" s="15">
        <f t="shared" si="11"/>
        <v>30</v>
      </c>
      <c r="Q101" s="9">
        <v>2</v>
      </c>
      <c r="R101" s="15">
        <f t="shared" si="12"/>
        <v>2</v>
      </c>
      <c r="S101" s="15">
        <f t="shared" si="13"/>
        <v>60</v>
      </c>
      <c r="T101" s="4">
        <f t="shared" si="14"/>
        <v>3</v>
      </c>
      <c r="U101" s="3">
        <f t="shared" si="15"/>
        <v>90</v>
      </c>
      <c r="V101" s="25" t="s">
        <v>582</v>
      </c>
    </row>
    <row r="102" spans="1:23" x14ac:dyDescent="0.35">
      <c r="A102" s="8"/>
      <c r="B102" s="62" t="s">
        <v>172</v>
      </c>
      <c r="C102" s="13" t="s">
        <v>17</v>
      </c>
      <c r="D102" s="64">
        <v>60</v>
      </c>
      <c r="E102" s="64">
        <v>12</v>
      </c>
      <c r="F102" s="64" t="s">
        <v>23</v>
      </c>
      <c r="G102" s="87">
        <v>6</v>
      </c>
      <c r="H102" s="15">
        <v>180</v>
      </c>
      <c r="I102" s="15">
        <v>60</v>
      </c>
      <c r="J102" s="3">
        <v>1</v>
      </c>
      <c r="K102" s="15">
        <f t="shared" si="8"/>
        <v>30</v>
      </c>
      <c r="L102" s="17">
        <v>1</v>
      </c>
      <c r="M102" s="15">
        <f t="shared" si="9"/>
        <v>1</v>
      </c>
      <c r="N102" s="15">
        <f t="shared" si="10"/>
        <v>30</v>
      </c>
      <c r="O102" s="3">
        <v>1</v>
      </c>
      <c r="P102" s="15">
        <f t="shared" si="11"/>
        <v>30</v>
      </c>
      <c r="Q102" s="9">
        <v>3</v>
      </c>
      <c r="R102" s="15">
        <f t="shared" si="12"/>
        <v>3</v>
      </c>
      <c r="S102" s="15">
        <f t="shared" si="13"/>
        <v>90</v>
      </c>
      <c r="T102" s="4">
        <f t="shared" si="14"/>
        <v>4</v>
      </c>
      <c r="U102" s="3">
        <f t="shared" si="15"/>
        <v>120</v>
      </c>
      <c r="V102" s="25" t="s">
        <v>621</v>
      </c>
      <c r="W102">
        <v>4</v>
      </c>
    </row>
    <row r="103" spans="1:23" x14ac:dyDescent="0.3">
      <c r="A103" s="8"/>
      <c r="B103" s="63"/>
      <c r="C103" s="13" t="s">
        <v>18</v>
      </c>
      <c r="D103" s="65"/>
      <c r="E103" s="65"/>
      <c r="F103" s="65"/>
      <c r="G103" s="88"/>
      <c r="H103" s="15">
        <v>180</v>
      </c>
      <c r="I103" s="15">
        <v>60</v>
      </c>
      <c r="J103" s="3">
        <v>1</v>
      </c>
      <c r="K103" s="15">
        <f t="shared" si="8"/>
        <v>30</v>
      </c>
      <c r="L103" s="17">
        <v>1</v>
      </c>
      <c r="M103" s="15">
        <f t="shared" si="9"/>
        <v>1</v>
      </c>
      <c r="N103" s="15">
        <f t="shared" si="10"/>
        <v>30</v>
      </c>
      <c r="O103" s="3">
        <v>1</v>
      </c>
      <c r="P103" s="15">
        <f t="shared" si="11"/>
        <v>30</v>
      </c>
      <c r="Q103" s="9">
        <v>1</v>
      </c>
      <c r="R103" s="15">
        <f t="shared" si="12"/>
        <v>1</v>
      </c>
      <c r="S103" s="15">
        <f t="shared" si="13"/>
        <v>30</v>
      </c>
      <c r="T103" s="4">
        <f t="shared" si="14"/>
        <v>2</v>
      </c>
      <c r="U103" s="3">
        <f t="shared" si="15"/>
        <v>60</v>
      </c>
      <c r="V103" s="19" t="s">
        <v>596</v>
      </c>
      <c r="W103">
        <v>2</v>
      </c>
    </row>
    <row r="104" spans="1:23" x14ac:dyDescent="0.3">
      <c r="A104" s="7"/>
      <c r="B104" s="62" t="s">
        <v>173</v>
      </c>
      <c r="C104" s="13" t="s">
        <v>17</v>
      </c>
      <c r="D104" s="65"/>
      <c r="E104" s="65"/>
      <c r="F104" s="65"/>
      <c r="G104" s="64">
        <v>5</v>
      </c>
      <c r="H104" s="15">
        <v>150</v>
      </c>
      <c r="I104" s="15">
        <v>45</v>
      </c>
      <c r="J104" s="3">
        <v>0.5</v>
      </c>
      <c r="K104" s="15">
        <f t="shared" si="8"/>
        <v>15</v>
      </c>
      <c r="L104" s="17">
        <v>1</v>
      </c>
      <c r="M104" s="15">
        <f t="shared" si="9"/>
        <v>0.5</v>
      </c>
      <c r="N104" s="15">
        <f t="shared" si="10"/>
        <v>15</v>
      </c>
      <c r="O104" s="3">
        <v>1</v>
      </c>
      <c r="P104" s="15">
        <f t="shared" si="11"/>
        <v>30</v>
      </c>
      <c r="Q104" s="9">
        <v>3</v>
      </c>
      <c r="R104" s="15">
        <f t="shared" si="12"/>
        <v>3</v>
      </c>
      <c r="S104" s="15">
        <f t="shared" si="13"/>
        <v>90</v>
      </c>
      <c r="T104" s="4">
        <f t="shared" si="14"/>
        <v>3.5</v>
      </c>
      <c r="U104" s="3">
        <f t="shared" si="15"/>
        <v>105</v>
      </c>
      <c r="V104" s="19" t="s">
        <v>601</v>
      </c>
      <c r="W104">
        <v>3.5</v>
      </c>
    </row>
    <row r="105" spans="1:23" x14ac:dyDescent="0.3">
      <c r="A105" s="7"/>
      <c r="B105" s="63"/>
      <c r="C105" s="13" t="s">
        <v>18</v>
      </c>
      <c r="D105" s="65"/>
      <c r="E105" s="65"/>
      <c r="F105" s="65"/>
      <c r="G105" s="66"/>
      <c r="H105" s="15">
        <v>150</v>
      </c>
      <c r="I105" s="15">
        <v>45</v>
      </c>
      <c r="J105" s="3">
        <v>0.5</v>
      </c>
      <c r="K105" s="15">
        <f t="shared" si="8"/>
        <v>15</v>
      </c>
      <c r="L105" s="17">
        <v>1</v>
      </c>
      <c r="M105" s="15">
        <f t="shared" si="9"/>
        <v>0.5</v>
      </c>
      <c r="N105" s="15">
        <f t="shared" si="10"/>
        <v>15</v>
      </c>
      <c r="O105" s="3">
        <v>1</v>
      </c>
      <c r="P105" s="15">
        <f t="shared" si="11"/>
        <v>30</v>
      </c>
      <c r="Q105" s="9">
        <v>1</v>
      </c>
      <c r="R105" s="15">
        <f t="shared" si="12"/>
        <v>1</v>
      </c>
      <c r="S105" s="15">
        <f t="shared" si="13"/>
        <v>30</v>
      </c>
      <c r="T105" s="4">
        <f t="shared" si="14"/>
        <v>1.5</v>
      </c>
      <c r="U105" s="3">
        <f t="shared" si="15"/>
        <v>45</v>
      </c>
      <c r="V105" s="19" t="s">
        <v>613</v>
      </c>
      <c r="W105">
        <v>1.5</v>
      </c>
    </row>
    <row r="106" spans="1:23" x14ac:dyDescent="0.3">
      <c r="A106" s="7"/>
      <c r="B106" s="62" t="s">
        <v>174</v>
      </c>
      <c r="C106" s="13" t="s">
        <v>17</v>
      </c>
      <c r="D106" s="65"/>
      <c r="E106" s="65"/>
      <c r="F106" s="65"/>
      <c r="G106" s="64">
        <v>6</v>
      </c>
      <c r="H106" s="15">
        <v>180</v>
      </c>
      <c r="I106" s="15">
        <v>60</v>
      </c>
      <c r="J106" s="3">
        <v>1</v>
      </c>
      <c r="K106" s="15">
        <f t="shared" si="8"/>
        <v>30</v>
      </c>
      <c r="L106" s="17">
        <v>1</v>
      </c>
      <c r="M106" s="15">
        <f t="shared" si="9"/>
        <v>1</v>
      </c>
      <c r="N106" s="15">
        <f t="shared" si="10"/>
        <v>30</v>
      </c>
      <c r="O106" s="3">
        <v>1</v>
      </c>
      <c r="P106" s="15">
        <f t="shared" si="11"/>
        <v>30</v>
      </c>
      <c r="Q106" s="9">
        <v>3</v>
      </c>
      <c r="R106" s="15">
        <f t="shared" si="12"/>
        <v>3</v>
      </c>
      <c r="S106" s="15">
        <f t="shared" si="13"/>
        <v>90</v>
      </c>
      <c r="T106" s="4">
        <f t="shared" si="14"/>
        <v>4</v>
      </c>
      <c r="U106" s="3">
        <f t="shared" si="15"/>
        <v>120</v>
      </c>
      <c r="V106" s="19" t="s">
        <v>594</v>
      </c>
      <c r="W106">
        <v>4</v>
      </c>
    </row>
    <row r="107" spans="1:23" x14ac:dyDescent="0.3">
      <c r="A107" s="7"/>
      <c r="B107" s="63"/>
      <c r="C107" s="13" t="s">
        <v>18</v>
      </c>
      <c r="D107" s="65"/>
      <c r="E107" s="65"/>
      <c r="F107" s="65"/>
      <c r="G107" s="66"/>
      <c r="H107" s="15">
        <v>180</v>
      </c>
      <c r="I107" s="15">
        <v>60</v>
      </c>
      <c r="J107" s="3">
        <v>1</v>
      </c>
      <c r="K107" s="15">
        <f t="shared" si="8"/>
        <v>30</v>
      </c>
      <c r="L107" s="17">
        <v>1</v>
      </c>
      <c r="M107" s="15">
        <f t="shared" si="9"/>
        <v>1</v>
      </c>
      <c r="N107" s="15">
        <f t="shared" si="10"/>
        <v>30</v>
      </c>
      <c r="O107" s="3">
        <v>1</v>
      </c>
      <c r="P107" s="15">
        <f t="shared" si="11"/>
        <v>30</v>
      </c>
      <c r="Q107" s="9">
        <v>1</v>
      </c>
      <c r="R107" s="15">
        <f t="shared" si="12"/>
        <v>1</v>
      </c>
      <c r="S107" s="15">
        <f t="shared" si="13"/>
        <v>30</v>
      </c>
      <c r="T107" s="4">
        <f t="shared" si="14"/>
        <v>2</v>
      </c>
      <c r="U107" s="3">
        <f t="shared" si="15"/>
        <v>60</v>
      </c>
      <c r="V107" s="19" t="s">
        <v>594</v>
      </c>
      <c r="W107">
        <v>2</v>
      </c>
    </row>
    <row r="108" spans="1:23" ht="27.6" customHeight="1" x14ac:dyDescent="0.3">
      <c r="A108" s="7"/>
      <c r="B108" s="62" t="s">
        <v>604</v>
      </c>
      <c r="C108" s="13" t="s">
        <v>17</v>
      </c>
      <c r="D108" s="65"/>
      <c r="E108" s="65"/>
      <c r="F108" s="65"/>
      <c r="G108" s="64">
        <v>6</v>
      </c>
      <c r="H108" s="15">
        <v>180</v>
      </c>
      <c r="I108" s="15">
        <v>60</v>
      </c>
      <c r="J108" s="3">
        <v>1</v>
      </c>
      <c r="K108" s="15">
        <f t="shared" si="8"/>
        <v>30</v>
      </c>
      <c r="L108" s="17">
        <v>1</v>
      </c>
      <c r="M108" s="15">
        <f t="shared" si="9"/>
        <v>1</v>
      </c>
      <c r="N108" s="15">
        <f t="shared" si="10"/>
        <v>30</v>
      </c>
      <c r="O108" s="3">
        <v>1</v>
      </c>
      <c r="P108" s="15">
        <f t="shared" si="11"/>
        <v>30</v>
      </c>
      <c r="Q108" s="9">
        <v>3</v>
      </c>
      <c r="R108" s="15">
        <f t="shared" si="12"/>
        <v>3</v>
      </c>
      <c r="S108" s="15">
        <f t="shared" si="13"/>
        <v>90</v>
      </c>
      <c r="T108" s="4">
        <f t="shared" si="14"/>
        <v>4</v>
      </c>
      <c r="U108" s="3">
        <f t="shared" si="15"/>
        <v>120</v>
      </c>
      <c r="V108" s="19" t="s">
        <v>611</v>
      </c>
      <c r="W108">
        <v>4</v>
      </c>
    </row>
    <row r="109" spans="1:23" ht="25.2" customHeight="1" x14ac:dyDescent="0.3">
      <c r="A109" s="7"/>
      <c r="B109" s="63"/>
      <c r="C109" s="13" t="s">
        <v>18</v>
      </c>
      <c r="D109" s="66"/>
      <c r="E109" s="66"/>
      <c r="F109" s="66"/>
      <c r="G109" s="66"/>
      <c r="H109" s="15">
        <v>180</v>
      </c>
      <c r="I109" s="15">
        <v>60</v>
      </c>
      <c r="J109" s="3">
        <v>1</v>
      </c>
      <c r="K109" s="15">
        <f t="shared" si="8"/>
        <v>30</v>
      </c>
      <c r="L109" s="17">
        <v>1</v>
      </c>
      <c r="M109" s="15">
        <f t="shared" si="9"/>
        <v>1</v>
      </c>
      <c r="N109" s="15">
        <f t="shared" si="10"/>
        <v>30</v>
      </c>
      <c r="O109" s="3">
        <v>1</v>
      </c>
      <c r="P109" s="15">
        <f t="shared" si="11"/>
        <v>30</v>
      </c>
      <c r="Q109" s="9">
        <v>1</v>
      </c>
      <c r="R109" s="15">
        <f t="shared" si="12"/>
        <v>1</v>
      </c>
      <c r="S109" s="15">
        <f t="shared" si="13"/>
        <v>30</v>
      </c>
      <c r="T109" s="4">
        <f t="shared" si="14"/>
        <v>2</v>
      </c>
      <c r="U109" s="3">
        <f t="shared" si="15"/>
        <v>60</v>
      </c>
      <c r="V109" s="19" t="s">
        <v>595</v>
      </c>
      <c r="W109">
        <v>2</v>
      </c>
    </row>
    <row r="110" spans="1:23" x14ac:dyDescent="0.3">
      <c r="A110" s="7"/>
      <c r="B110" s="62" t="s">
        <v>296</v>
      </c>
      <c r="C110" s="13" t="s">
        <v>17</v>
      </c>
      <c r="D110" s="64">
        <v>81</v>
      </c>
      <c r="E110" s="64">
        <v>9</v>
      </c>
      <c r="F110" s="64" t="s">
        <v>24</v>
      </c>
      <c r="G110" s="64">
        <v>5</v>
      </c>
      <c r="H110" s="15">
        <v>150</v>
      </c>
      <c r="I110" s="15">
        <v>45</v>
      </c>
      <c r="J110" s="3">
        <v>0.5</v>
      </c>
      <c r="K110" s="15">
        <f t="shared" si="8"/>
        <v>15</v>
      </c>
      <c r="L110" s="17">
        <v>1</v>
      </c>
      <c r="M110" s="15">
        <f t="shared" si="9"/>
        <v>0.5</v>
      </c>
      <c r="N110" s="15">
        <f t="shared" si="10"/>
        <v>15</v>
      </c>
      <c r="O110" s="3">
        <v>1</v>
      </c>
      <c r="P110" s="15">
        <f t="shared" si="11"/>
        <v>30</v>
      </c>
      <c r="Q110" s="17">
        <v>6</v>
      </c>
      <c r="R110" s="15">
        <f t="shared" si="12"/>
        <v>6</v>
      </c>
      <c r="S110" s="15">
        <f t="shared" si="13"/>
        <v>180</v>
      </c>
      <c r="T110" s="4">
        <f t="shared" si="14"/>
        <v>6.5</v>
      </c>
      <c r="U110" s="3">
        <f t="shared" si="15"/>
        <v>195</v>
      </c>
      <c r="V110" s="19"/>
      <c r="W110">
        <f>SUM(W102:W109)</f>
        <v>23</v>
      </c>
    </row>
    <row r="111" spans="1:23" x14ac:dyDescent="0.3">
      <c r="A111" s="7"/>
      <c r="B111" s="63"/>
      <c r="C111" s="13" t="s">
        <v>18</v>
      </c>
      <c r="D111" s="65"/>
      <c r="E111" s="65"/>
      <c r="F111" s="65"/>
      <c r="G111" s="66"/>
      <c r="H111" s="15">
        <v>150</v>
      </c>
      <c r="I111" s="15">
        <v>45</v>
      </c>
      <c r="J111" s="3">
        <v>0.5</v>
      </c>
      <c r="K111" s="15">
        <f t="shared" si="8"/>
        <v>15</v>
      </c>
      <c r="L111" s="17">
        <v>1</v>
      </c>
      <c r="M111" s="15">
        <f t="shared" si="9"/>
        <v>0.5</v>
      </c>
      <c r="N111" s="15">
        <f t="shared" si="10"/>
        <v>15</v>
      </c>
      <c r="O111" s="3">
        <v>1</v>
      </c>
      <c r="P111" s="15">
        <f t="shared" si="11"/>
        <v>30</v>
      </c>
      <c r="Q111" s="17">
        <v>1</v>
      </c>
      <c r="R111" s="15">
        <f t="shared" si="12"/>
        <v>1</v>
      </c>
      <c r="S111" s="15">
        <f t="shared" si="13"/>
        <v>30</v>
      </c>
      <c r="T111" s="4">
        <f t="shared" si="14"/>
        <v>1.5</v>
      </c>
      <c r="U111" s="3">
        <f t="shared" si="15"/>
        <v>45</v>
      </c>
      <c r="V111" s="19"/>
    </row>
    <row r="112" spans="1:23" x14ac:dyDescent="0.3">
      <c r="A112" s="7"/>
      <c r="B112" s="62" t="s">
        <v>297</v>
      </c>
      <c r="C112" s="13" t="s">
        <v>17</v>
      </c>
      <c r="D112" s="65"/>
      <c r="E112" s="65"/>
      <c r="F112" s="65"/>
      <c r="G112" s="64">
        <v>6</v>
      </c>
      <c r="H112" s="15">
        <v>180</v>
      </c>
      <c r="I112" s="15">
        <v>60</v>
      </c>
      <c r="J112" s="3">
        <v>1</v>
      </c>
      <c r="K112" s="15">
        <f t="shared" si="8"/>
        <v>30</v>
      </c>
      <c r="L112" s="17">
        <v>1</v>
      </c>
      <c r="M112" s="15">
        <f t="shared" si="9"/>
        <v>1</v>
      </c>
      <c r="N112" s="15">
        <f t="shared" si="10"/>
        <v>30</v>
      </c>
      <c r="O112" s="3">
        <v>1</v>
      </c>
      <c r="P112" s="15">
        <f t="shared" si="11"/>
        <v>30</v>
      </c>
      <c r="Q112" s="17">
        <v>6</v>
      </c>
      <c r="R112" s="15">
        <f t="shared" si="12"/>
        <v>6</v>
      </c>
      <c r="S112" s="15">
        <f t="shared" si="13"/>
        <v>180</v>
      </c>
      <c r="T112" s="4">
        <f t="shared" si="14"/>
        <v>7</v>
      </c>
      <c r="U112" s="3">
        <f t="shared" si="15"/>
        <v>210</v>
      </c>
      <c r="V112" s="19"/>
    </row>
    <row r="113" spans="1:22" x14ac:dyDescent="0.3">
      <c r="A113" s="7"/>
      <c r="B113" s="63"/>
      <c r="C113" s="13" t="s">
        <v>18</v>
      </c>
      <c r="D113" s="65"/>
      <c r="E113" s="65"/>
      <c r="F113" s="65"/>
      <c r="G113" s="66"/>
      <c r="H113" s="15">
        <v>180</v>
      </c>
      <c r="I113" s="15">
        <v>60</v>
      </c>
      <c r="J113" s="3">
        <v>1</v>
      </c>
      <c r="K113" s="15">
        <f t="shared" si="8"/>
        <v>30</v>
      </c>
      <c r="L113" s="17">
        <v>1</v>
      </c>
      <c r="M113" s="15">
        <f t="shared" si="9"/>
        <v>1</v>
      </c>
      <c r="N113" s="15">
        <f t="shared" si="10"/>
        <v>30</v>
      </c>
      <c r="O113" s="3">
        <v>1</v>
      </c>
      <c r="P113" s="15">
        <f t="shared" si="11"/>
        <v>30</v>
      </c>
      <c r="Q113" s="17">
        <v>1</v>
      </c>
      <c r="R113" s="15">
        <f t="shared" si="12"/>
        <v>1</v>
      </c>
      <c r="S113" s="15">
        <f t="shared" si="13"/>
        <v>30</v>
      </c>
      <c r="T113" s="4">
        <f t="shared" si="14"/>
        <v>2</v>
      </c>
      <c r="U113" s="3">
        <f t="shared" si="15"/>
        <v>60</v>
      </c>
      <c r="V113" s="19"/>
    </row>
    <row r="114" spans="1:22" x14ac:dyDescent="0.3">
      <c r="A114" s="7"/>
      <c r="B114" s="62" t="s">
        <v>298</v>
      </c>
      <c r="C114" s="13" t="s">
        <v>17</v>
      </c>
      <c r="D114" s="65"/>
      <c r="E114" s="65"/>
      <c r="F114" s="65"/>
      <c r="G114" s="64">
        <v>5</v>
      </c>
      <c r="H114" s="15">
        <v>150</v>
      </c>
      <c r="I114" s="15">
        <v>45</v>
      </c>
      <c r="J114" s="3">
        <v>0.5</v>
      </c>
      <c r="K114" s="15">
        <f t="shared" si="8"/>
        <v>15</v>
      </c>
      <c r="L114" s="17">
        <v>1</v>
      </c>
      <c r="M114" s="15">
        <f t="shared" si="9"/>
        <v>0.5</v>
      </c>
      <c r="N114" s="15">
        <f t="shared" si="10"/>
        <v>15</v>
      </c>
      <c r="O114" s="3">
        <v>1</v>
      </c>
      <c r="P114" s="15">
        <f t="shared" si="11"/>
        <v>30</v>
      </c>
      <c r="Q114" s="17">
        <v>6</v>
      </c>
      <c r="R114" s="15">
        <f t="shared" si="12"/>
        <v>6</v>
      </c>
      <c r="S114" s="15">
        <f t="shared" si="13"/>
        <v>180</v>
      </c>
      <c r="T114" s="4">
        <f t="shared" si="14"/>
        <v>6.5</v>
      </c>
      <c r="U114" s="3">
        <f t="shared" si="15"/>
        <v>195</v>
      </c>
      <c r="V114" s="19"/>
    </row>
    <row r="115" spans="1:22" x14ac:dyDescent="0.3">
      <c r="A115" s="7"/>
      <c r="B115" s="63"/>
      <c r="C115" s="13" t="s">
        <v>18</v>
      </c>
      <c r="D115" s="65"/>
      <c r="E115" s="65"/>
      <c r="F115" s="65"/>
      <c r="G115" s="66"/>
      <c r="H115" s="15">
        <v>150</v>
      </c>
      <c r="I115" s="15">
        <v>45</v>
      </c>
      <c r="J115" s="3">
        <v>0.5</v>
      </c>
      <c r="K115" s="15">
        <f t="shared" si="8"/>
        <v>15</v>
      </c>
      <c r="L115" s="17">
        <v>1</v>
      </c>
      <c r="M115" s="15">
        <f t="shared" si="9"/>
        <v>0.5</v>
      </c>
      <c r="N115" s="15">
        <f t="shared" si="10"/>
        <v>15</v>
      </c>
      <c r="O115" s="3">
        <v>1</v>
      </c>
      <c r="P115" s="15">
        <f t="shared" si="11"/>
        <v>30</v>
      </c>
      <c r="Q115" s="17">
        <v>1</v>
      </c>
      <c r="R115" s="15">
        <f t="shared" si="12"/>
        <v>1</v>
      </c>
      <c r="S115" s="15">
        <f t="shared" si="13"/>
        <v>30</v>
      </c>
      <c r="T115" s="4">
        <f t="shared" si="14"/>
        <v>1.5</v>
      </c>
      <c r="U115" s="3">
        <f t="shared" si="15"/>
        <v>45</v>
      </c>
      <c r="V115" s="19"/>
    </row>
    <row r="116" spans="1:22" x14ac:dyDescent="0.3">
      <c r="A116" s="7"/>
      <c r="B116" s="62" t="s">
        <v>299</v>
      </c>
      <c r="C116" s="13" t="s">
        <v>17</v>
      </c>
      <c r="D116" s="65"/>
      <c r="E116" s="65"/>
      <c r="F116" s="65"/>
      <c r="G116" s="64">
        <v>5</v>
      </c>
      <c r="H116" s="15">
        <v>150</v>
      </c>
      <c r="I116" s="15">
        <v>45</v>
      </c>
      <c r="J116" s="3">
        <v>0</v>
      </c>
      <c r="K116" s="15">
        <f t="shared" si="8"/>
        <v>0</v>
      </c>
      <c r="L116" s="9">
        <v>0</v>
      </c>
      <c r="M116" s="15">
        <f t="shared" si="9"/>
        <v>0</v>
      </c>
      <c r="N116" s="15">
        <f t="shared" si="10"/>
        <v>0</v>
      </c>
      <c r="O116" s="3">
        <v>1.5</v>
      </c>
      <c r="P116" s="15">
        <f t="shared" si="11"/>
        <v>45</v>
      </c>
      <c r="Q116" s="17">
        <v>6</v>
      </c>
      <c r="R116" s="15">
        <f t="shared" si="12"/>
        <v>9</v>
      </c>
      <c r="S116" s="15">
        <f t="shared" si="13"/>
        <v>270</v>
      </c>
      <c r="T116" s="4">
        <f t="shared" si="14"/>
        <v>9</v>
      </c>
      <c r="U116" s="3">
        <f t="shared" si="15"/>
        <v>270</v>
      </c>
      <c r="V116" s="19"/>
    </row>
    <row r="117" spans="1:22" x14ac:dyDescent="0.3">
      <c r="A117" s="7"/>
      <c r="B117" s="63"/>
      <c r="C117" s="13" t="s">
        <v>18</v>
      </c>
      <c r="D117" s="66"/>
      <c r="E117" s="66"/>
      <c r="F117" s="66"/>
      <c r="G117" s="66"/>
      <c r="H117" s="15">
        <v>150</v>
      </c>
      <c r="I117" s="15">
        <v>45</v>
      </c>
      <c r="J117" s="3">
        <v>0</v>
      </c>
      <c r="K117" s="15">
        <f t="shared" si="8"/>
        <v>0</v>
      </c>
      <c r="L117" s="9">
        <v>0</v>
      </c>
      <c r="M117" s="15">
        <f t="shared" si="9"/>
        <v>0</v>
      </c>
      <c r="N117" s="15">
        <f t="shared" si="10"/>
        <v>0</v>
      </c>
      <c r="O117" s="3">
        <v>1.5</v>
      </c>
      <c r="P117" s="15">
        <f t="shared" si="11"/>
        <v>45</v>
      </c>
      <c r="Q117" s="17">
        <v>1</v>
      </c>
      <c r="R117" s="15">
        <f t="shared" si="12"/>
        <v>1.5</v>
      </c>
      <c r="S117" s="15">
        <f t="shared" si="13"/>
        <v>45</v>
      </c>
      <c r="T117" s="4">
        <f t="shared" si="14"/>
        <v>1.5</v>
      </c>
      <c r="U117" s="3">
        <f t="shared" si="15"/>
        <v>45</v>
      </c>
      <c r="V117" s="19"/>
    </row>
    <row r="118" spans="1:22" x14ac:dyDescent="0.3">
      <c r="A118" s="7"/>
      <c r="B118" s="62" t="s">
        <v>304</v>
      </c>
      <c r="C118" s="13" t="s">
        <v>17</v>
      </c>
      <c r="D118" s="64">
        <v>75</v>
      </c>
      <c r="E118" s="64">
        <v>15</v>
      </c>
      <c r="F118" s="64" t="s">
        <v>25</v>
      </c>
      <c r="G118" s="64">
        <v>5</v>
      </c>
      <c r="H118" s="15">
        <v>150</v>
      </c>
      <c r="I118" s="15">
        <v>45</v>
      </c>
      <c r="J118" s="3">
        <v>0.5</v>
      </c>
      <c r="K118" s="15">
        <f t="shared" si="8"/>
        <v>15</v>
      </c>
      <c r="L118" s="17">
        <v>1</v>
      </c>
      <c r="M118" s="15">
        <f t="shared" si="9"/>
        <v>0.5</v>
      </c>
      <c r="N118" s="15">
        <f t="shared" si="10"/>
        <v>15</v>
      </c>
      <c r="O118" s="3">
        <v>1</v>
      </c>
      <c r="P118" s="15">
        <f t="shared" si="11"/>
        <v>30</v>
      </c>
      <c r="Q118" s="17">
        <v>5</v>
      </c>
      <c r="R118" s="15">
        <f t="shared" si="12"/>
        <v>5</v>
      </c>
      <c r="S118" s="15">
        <f t="shared" si="13"/>
        <v>150</v>
      </c>
      <c r="T118" s="4">
        <f t="shared" si="14"/>
        <v>5.5</v>
      </c>
      <c r="U118" s="3">
        <f t="shared" si="15"/>
        <v>165</v>
      </c>
      <c r="V118" s="19"/>
    </row>
    <row r="119" spans="1:22" x14ac:dyDescent="0.3">
      <c r="A119" s="7"/>
      <c r="B119" s="63"/>
      <c r="C119" s="13" t="s">
        <v>18</v>
      </c>
      <c r="D119" s="65"/>
      <c r="E119" s="65"/>
      <c r="F119" s="65"/>
      <c r="G119" s="66"/>
      <c r="H119" s="15">
        <v>150</v>
      </c>
      <c r="I119" s="15">
        <v>45</v>
      </c>
      <c r="J119" s="3">
        <v>0.5</v>
      </c>
      <c r="K119" s="15">
        <f t="shared" si="8"/>
        <v>15</v>
      </c>
      <c r="L119" s="17">
        <v>1</v>
      </c>
      <c r="M119" s="15">
        <f t="shared" si="9"/>
        <v>0.5</v>
      </c>
      <c r="N119" s="15">
        <f t="shared" si="10"/>
        <v>15</v>
      </c>
      <c r="O119" s="3">
        <v>1</v>
      </c>
      <c r="P119" s="15">
        <f t="shared" si="11"/>
        <v>30</v>
      </c>
      <c r="Q119" s="17">
        <v>1</v>
      </c>
      <c r="R119" s="15">
        <f t="shared" si="12"/>
        <v>1</v>
      </c>
      <c r="S119" s="15">
        <f t="shared" si="13"/>
        <v>30</v>
      </c>
      <c r="T119" s="4">
        <f t="shared" si="14"/>
        <v>1.5</v>
      </c>
      <c r="U119" s="3">
        <f t="shared" si="15"/>
        <v>45</v>
      </c>
      <c r="V119" s="19"/>
    </row>
    <row r="120" spans="1:22" x14ac:dyDescent="0.3">
      <c r="B120" s="62" t="s">
        <v>305</v>
      </c>
      <c r="C120" s="13" t="s">
        <v>17</v>
      </c>
      <c r="D120" s="65"/>
      <c r="E120" s="65"/>
      <c r="F120" s="65"/>
      <c r="G120" s="64">
        <v>4</v>
      </c>
      <c r="H120" s="15">
        <v>120</v>
      </c>
      <c r="I120" s="15">
        <v>45</v>
      </c>
      <c r="J120" s="3">
        <v>0.5</v>
      </c>
      <c r="K120" s="15">
        <f t="shared" si="8"/>
        <v>15</v>
      </c>
      <c r="L120" s="17">
        <v>1</v>
      </c>
      <c r="M120" s="15">
        <f t="shared" si="9"/>
        <v>0.5</v>
      </c>
      <c r="N120" s="15">
        <f t="shared" si="10"/>
        <v>15</v>
      </c>
      <c r="O120" s="3">
        <v>1</v>
      </c>
      <c r="P120" s="15">
        <f t="shared" si="11"/>
        <v>30</v>
      </c>
      <c r="Q120" s="17">
        <v>5</v>
      </c>
      <c r="R120" s="15">
        <f t="shared" si="12"/>
        <v>5</v>
      </c>
      <c r="S120" s="15">
        <f t="shared" si="13"/>
        <v>150</v>
      </c>
      <c r="T120" s="4">
        <f t="shared" si="14"/>
        <v>5.5</v>
      </c>
      <c r="U120" s="3">
        <f t="shared" si="15"/>
        <v>165</v>
      </c>
      <c r="V120" s="19"/>
    </row>
    <row r="121" spans="1:22" x14ac:dyDescent="0.3">
      <c r="B121" s="63"/>
      <c r="C121" s="13" t="s">
        <v>18</v>
      </c>
      <c r="D121" s="65"/>
      <c r="E121" s="65"/>
      <c r="F121" s="65"/>
      <c r="G121" s="66"/>
      <c r="H121" s="15">
        <v>120</v>
      </c>
      <c r="I121" s="15">
        <v>45</v>
      </c>
      <c r="J121" s="3">
        <v>0.5</v>
      </c>
      <c r="K121" s="15">
        <f t="shared" si="8"/>
        <v>15</v>
      </c>
      <c r="L121" s="17">
        <v>1</v>
      </c>
      <c r="M121" s="15">
        <f t="shared" si="9"/>
        <v>0.5</v>
      </c>
      <c r="N121" s="15">
        <f t="shared" si="10"/>
        <v>15</v>
      </c>
      <c r="O121" s="3">
        <v>1</v>
      </c>
      <c r="P121" s="15">
        <f t="shared" si="11"/>
        <v>30</v>
      </c>
      <c r="Q121" s="17">
        <v>1</v>
      </c>
      <c r="R121" s="15">
        <f t="shared" si="12"/>
        <v>1</v>
      </c>
      <c r="S121" s="15">
        <f t="shared" si="13"/>
        <v>30</v>
      </c>
      <c r="T121" s="4">
        <f t="shared" si="14"/>
        <v>1.5</v>
      </c>
      <c r="U121" s="3">
        <f t="shared" si="15"/>
        <v>45</v>
      </c>
      <c r="V121" s="19"/>
    </row>
    <row r="122" spans="1:22" x14ac:dyDescent="0.3">
      <c r="B122" s="62" t="s">
        <v>306</v>
      </c>
      <c r="C122" s="13" t="s">
        <v>17</v>
      </c>
      <c r="D122" s="65"/>
      <c r="E122" s="65"/>
      <c r="F122" s="65"/>
      <c r="G122" s="64">
        <v>5</v>
      </c>
      <c r="H122" s="15">
        <v>150</v>
      </c>
      <c r="I122" s="15">
        <v>45</v>
      </c>
      <c r="J122" s="3">
        <v>0.5</v>
      </c>
      <c r="K122" s="15">
        <f t="shared" si="8"/>
        <v>15</v>
      </c>
      <c r="L122" s="17">
        <v>1</v>
      </c>
      <c r="M122" s="15">
        <f t="shared" si="9"/>
        <v>0.5</v>
      </c>
      <c r="N122" s="15">
        <f t="shared" si="10"/>
        <v>15</v>
      </c>
      <c r="O122" s="3">
        <v>1</v>
      </c>
      <c r="P122" s="15">
        <f t="shared" si="11"/>
        <v>30</v>
      </c>
      <c r="Q122" s="17">
        <v>5</v>
      </c>
      <c r="R122" s="15">
        <f t="shared" si="12"/>
        <v>5</v>
      </c>
      <c r="S122" s="15">
        <f t="shared" si="13"/>
        <v>150</v>
      </c>
      <c r="T122" s="4">
        <f t="shared" si="14"/>
        <v>5.5</v>
      </c>
      <c r="U122" s="3">
        <f t="shared" si="15"/>
        <v>165</v>
      </c>
      <c r="V122" s="19"/>
    </row>
    <row r="123" spans="1:22" x14ac:dyDescent="0.3">
      <c r="B123" s="63"/>
      <c r="C123" s="13" t="s">
        <v>18</v>
      </c>
      <c r="D123" s="65"/>
      <c r="E123" s="65"/>
      <c r="F123" s="65"/>
      <c r="G123" s="66"/>
      <c r="H123" s="15">
        <v>150</v>
      </c>
      <c r="I123" s="15">
        <v>45</v>
      </c>
      <c r="J123" s="3">
        <v>0.5</v>
      </c>
      <c r="K123" s="15">
        <f t="shared" si="8"/>
        <v>15</v>
      </c>
      <c r="L123" s="17">
        <v>1</v>
      </c>
      <c r="M123" s="15">
        <f t="shared" si="9"/>
        <v>0.5</v>
      </c>
      <c r="N123" s="15">
        <f t="shared" si="10"/>
        <v>15</v>
      </c>
      <c r="O123" s="3">
        <v>1</v>
      </c>
      <c r="P123" s="15">
        <f t="shared" si="11"/>
        <v>30</v>
      </c>
      <c r="Q123" s="17">
        <v>1</v>
      </c>
      <c r="R123" s="15">
        <f t="shared" si="12"/>
        <v>1</v>
      </c>
      <c r="S123" s="15">
        <f t="shared" si="13"/>
        <v>30</v>
      </c>
      <c r="T123" s="4">
        <f t="shared" si="14"/>
        <v>1.5</v>
      </c>
      <c r="U123" s="3">
        <f t="shared" si="15"/>
        <v>45</v>
      </c>
      <c r="V123" s="19"/>
    </row>
    <row r="124" spans="1:22" x14ac:dyDescent="0.3">
      <c r="B124" s="62" t="s">
        <v>307</v>
      </c>
      <c r="C124" s="13" t="s">
        <v>17</v>
      </c>
      <c r="D124" s="65"/>
      <c r="E124" s="65"/>
      <c r="F124" s="65"/>
      <c r="G124" s="64">
        <v>5</v>
      </c>
      <c r="H124" s="15">
        <v>150</v>
      </c>
      <c r="I124" s="15">
        <v>45</v>
      </c>
      <c r="J124" s="3">
        <v>0.5</v>
      </c>
      <c r="K124" s="15">
        <f t="shared" si="8"/>
        <v>15</v>
      </c>
      <c r="L124" s="17">
        <v>1</v>
      </c>
      <c r="M124" s="15">
        <f t="shared" si="9"/>
        <v>0.5</v>
      </c>
      <c r="N124" s="15">
        <f t="shared" si="10"/>
        <v>15</v>
      </c>
      <c r="O124" s="3">
        <v>1</v>
      </c>
      <c r="P124" s="15">
        <f t="shared" si="11"/>
        <v>30</v>
      </c>
      <c r="Q124" s="17">
        <v>5</v>
      </c>
      <c r="R124" s="15">
        <f t="shared" si="12"/>
        <v>5</v>
      </c>
      <c r="S124" s="15">
        <f t="shared" si="13"/>
        <v>150</v>
      </c>
      <c r="T124" s="4">
        <f t="shared" si="14"/>
        <v>5.5</v>
      </c>
      <c r="U124" s="3">
        <f t="shared" si="15"/>
        <v>165</v>
      </c>
      <c r="V124" s="19"/>
    </row>
    <row r="125" spans="1:22" x14ac:dyDescent="0.3">
      <c r="B125" s="63"/>
      <c r="C125" s="13" t="s">
        <v>18</v>
      </c>
      <c r="D125" s="65"/>
      <c r="E125" s="65"/>
      <c r="F125" s="65"/>
      <c r="G125" s="66"/>
      <c r="H125" s="15">
        <v>150</v>
      </c>
      <c r="I125" s="15">
        <v>45</v>
      </c>
      <c r="J125" s="3">
        <v>0.5</v>
      </c>
      <c r="K125" s="15">
        <f t="shared" si="8"/>
        <v>15</v>
      </c>
      <c r="L125" s="17">
        <v>1</v>
      </c>
      <c r="M125" s="15">
        <f t="shared" si="9"/>
        <v>0.5</v>
      </c>
      <c r="N125" s="15">
        <f t="shared" si="10"/>
        <v>15</v>
      </c>
      <c r="O125" s="3">
        <v>1</v>
      </c>
      <c r="P125" s="15">
        <f t="shared" si="11"/>
        <v>30</v>
      </c>
      <c r="Q125" s="17">
        <v>1</v>
      </c>
      <c r="R125" s="15">
        <f t="shared" si="12"/>
        <v>1</v>
      </c>
      <c r="S125" s="15">
        <f t="shared" si="13"/>
        <v>30</v>
      </c>
      <c r="T125" s="4">
        <f t="shared" si="14"/>
        <v>1.5</v>
      </c>
      <c r="U125" s="3">
        <f t="shared" si="15"/>
        <v>45</v>
      </c>
      <c r="V125" s="19"/>
    </row>
    <row r="126" spans="1:22" x14ac:dyDescent="0.3">
      <c r="B126" s="62" t="s">
        <v>36</v>
      </c>
      <c r="C126" s="13" t="s">
        <v>17</v>
      </c>
      <c r="D126" s="65"/>
      <c r="E126" s="65"/>
      <c r="F126" s="65"/>
      <c r="G126" s="64">
        <v>5</v>
      </c>
      <c r="H126" s="15">
        <v>150</v>
      </c>
      <c r="I126" s="15">
        <v>45</v>
      </c>
      <c r="J126" s="3">
        <v>0.5</v>
      </c>
      <c r="K126" s="15">
        <f t="shared" si="8"/>
        <v>15</v>
      </c>
      <c r="L126" s="17">
        <v>1</v>
      </c>
      <c r="M126" s="15">
        <f t="shared" si="9"/>
        <v>0.5</v>
      </c>
      <c r="N126" s="15">
        <f t="shared" si="10"/>
        <v>15</v>
      </c>
      <c r="O126" s="3">
        <v>1</v>
      </c>
      <c r="P126" s="15">
        <f t="shared" si="11"/>
        <v>30</v>
      </c>
      <c r="Q126" s="17">
        <v>5</v>
      </c>
      <c r="R126" s="15">
        <f t="shared" si="12"/>
        <v>5</v>
      </c>
      <c r="S126" s="15">
        <f t="shared" si="13"/>
        <v>150</v>
      </c>
      <c r="T126" s="4">
        <f t="shared" si="14"/>
        <v>5.5</v>
      </c>
      <c r="U126" s="3">
        <f t="shared" si="15"/>
        <v>165</v>
      </c>
      <c r="V126" s="19"/>
    </row>
    <row r="127" spans="1:22" x14ac:dyDescent="0.3">
      <c r="B127" s="63"/>
      <c r="C127" s="13" t="s">
        <v>18</v>
      </c>
      <c r="D127" s="66"/>
      <c r="E127" s="66"/>
      <c r="F127" s="66"/>
      <c r="G127" s="66"/>
      <c r="H127" s="15">
        <v>150</v>
      </c>
      <c r="I127" s="15">
        <v>45</v>
      </c>
      <c r="J127" s="3">
        <v>0.5</v>
      </c>
      <c r="K127" s="15">
        <f t="shared" si="8"/>
        <v>15</v>
      </c>
      <c r="L127" s="17">
        <v>1</v>
      </c>
      <c r="M127" s="15">
        <f t="shared" si="9"/>
        <v>0.5</v>
      </c>
      <c r="N127" s="15">
        <f t="shared" si="10"/>
        <v>15</v>
      </c>
      <c r="O127" s="3">
        <v>1</v>
      </c>
      <c r="P127" s="15">
        <f t="shared" si="11"/>
        <v>30</v>
      </c>
      <c r="Q127" s="17">
        <v>1</v>
      </c>
      <c r="R127" s="15">
        <f t="shared" si="12"/>
        <v>1</v>
      </c>
      <c r="S127" s="15">
        <f t="shared" si="13"/>
        <v>30</v>
      </c>
      <c r="T127" s="4">
        <f t="shared" si="14"/>
        <v>1.5</v>
      </c>
      <c r="U127" s="3">
        <f t="shared" si="15"/>
        <v>45</v>
      </c>
      <c r="V127" s="19"/>
    </row>
    <row r="128" spans="1:22" x14ac:dyDescent="0.35">
      <c r="A128" s="8"/>
      <c r="B128" s="62" t="s">
        <v>312</v>
      </c>
      <c r="C128" s="13" t="s">
        <v>17</v>
      </c>
      <c r="D128" s="64">
        <v>58</v>
      </c>
      <c r="E128" s="64">
        <v>7</v>
      </c>
      <c r="F128" s="64" t="s">
        <v>26</v>
      </c>
      <c r="G128" s="87">
        <v>5</v>
      </c>
      <c r="H128" s="15">
        <v>150</v>
      </c>
      <c r="I128" s="15">
        <v>45</v>
      </c>
      <c r="J128" s="3">
        <v>0.5</v>
      </c>
      <c r="K128" s="15">
        <f t="shared" si="8"/>
        <v>15</v>
      </c>
      <c r="L128" s="17">
        <v>1</v>
      </c>
      <c r="M128" s="15">
        <f t="shared" si="9"/>
        <v>0.5</v>
      </c>
      <c r="N128" s="15">
        <f t="shared" si="10"/>
        <v>15</v>
      </c>
      <c r="O128" s="3">
        <v>1</v>
      </c>
      <c r="P128" s="15">
        <f t="shared" si="11"/>
        <v>30</v>
      </c>
      <c r="Q128" s="9">
        <v>4</v>
      </c>
      <c r="R128" s="15">
        <f t="shared" si="12"/>
        <v>4</v>
      </c>
      <c r="S128" s="15">
        <f t="shared" si="13"/>
        <v>120</v>
      </c>
      <c r="T128" s="4">
        <f t="shared" si="14"/>
        <v>4.5</v>
      </c>
      <c r="U128" s="3">
        <f t="shared" si="15"/>
        <v>135</v>
      </c>
      <c r="V128" s="10"/>
    </row>
    <row r="129" spans="1:22" x14ac:dyDescent="0.35">
      <c r="A129" s="8"/>
      <c r="B129" s="63"/>
      <c r="C129" s="13" t="s">
        <v>18</v>
      </c>
      <c r="D129" s="65"/>
      <c r="E129" s="65"/>
      <c r="F129" s="65"/>
      <c r="G129" s="88"/>
      <c r="H129" s="15">
        <v>150</v>
      </c>
      <c r="I129" s="15">
        <v>45</v>
      </c>
      <c r="J129" s="3">
        <v>0.5</v>
      </c>
      <c r="K129" s="15">
        <f t="shared" si="8"/>
        <v>15</v>
      </c>
      <c r="L129" s="17">
        <v>1</v>
      </c>
      <c r="M129" s="15">
        <f t="shared" si="9"/>
        <v>0.5</v>
      </c>
      <c r="N129" s="15">
        <f t="shared" si="10"/>
        <v>15</v>
      </c>
      <c r="O129" s="3">
        <v>1</v>
      </c>
      <c r="P129" s="15">
        <f t="shared" si="11"/>
        <v>30</v>
      </c>
      <c r="Q129" s="9">
        <v>1</v>
      </c>
      <c r="R129" s="15">
        <f t="shared" si="12"/>
        <v>1</v>
      </c>
      <c r="S129" s="15">
        <f t="shared" si="13"/>
        <v>30</v>
      </c>
      <c r="T129" s="4">
        <f t="shared" si="14"/>
        <v>1.5</v>
      </c>
      <c r="U129" s="3">
        <f t="shared" si="15"/>
        <v>45</v>
      </c>
      <c r="V129" s="20"/>
    </row>
    <row r="130" spans="1:22" x14ac:dyDescent="0.35">
      <c r="A130" s="8"/>
      <c r="B130" s="62" t="s">
        <v>313</v>
      </c>
      <c r="C130" s="13" t="s">
        <v>17</v>
      </c>
      <c r="D130" s="65"/>
      <c r="E130" s="65"/>
      <c r="F130" s="65"/>
      <c r="G130" s="87">
        <v>4</v>
      </c>
      <c r="H130" s="15">
        <v>120</v>
      </c>
      <c r="I130" s="15">
        <v>45</v>
      </c>
      <c r="J130" s="3">
        <v>0.5</v>
      </c>
      <c r="K130" s="15">
        <f t="shared" si="8"/>
        <v>15</v>
      </c>
      <c r="L130" s="17">
        <v>1</v>
      </c>
      <c r="M130" s="15">
        <f t="shared" si="9"/>
        <v>0.5</v>
      </c>
      <c r="N130" s="15">
        <f t="shared" si="10"/>
        <v>15</v>
      </c>
      <c r="O130" s="3">
        <v>1</v>
      </c>
      <c r="P130" s="15">
        <f t="shared" si="11"/>
        <v>30</v>
      </c>
      <c r="Q130" s="9">
        <v>4</v>
      </c>
      <c r="R130" s="15">
        <f t="shared" si="12"/>
        <v>4</v>
      </c>
      <c r="S130" s="15">
        <f t="shared" si="13"/>
        <v>120</v>
      </c>
      <c r="T130" s="4">
        <f t="shared" si="14"/>
        <v>4.5</v>
      </c>
      <c r="U130" s="3">
        <f t="shared" si="15"/>
        <v>135</v>
      </c>
      <c r="V130" s="10"/>
    </row>
    <row r="131" spans="1:22" x14ac:dyDescent="0.35">
      <c r="A131" s="8"/>
      <c r="B131" s="63"/>
      <c r="C131" s="13" t="s">
        <v>18</v>
      </c>
      <c r="D131" s="65"/>
      <c r="E131" s="65"/>
      <c r="F131" s="65"/>
      <c r="G131" s="88"/>
      <c r="H131" s="15">
        <v>120</v>
      </c>
      <c r="I131" s="15">
        <v>45</v>
      </c>
      <c r="J131" s="3">
        <v>0.5</v>
      </c>
      <c r="K131" s="15">
        <f t="shared" si="8"/>
        <v>15</v>
      </c>
      <c r="L131" s="17">
        <v>1</v>
      </c>
      <c r="M131" s="15">
        <f t="shared" si="9"/>
        <v>0.5</v>
      </c>
      <c r="N131" s="15">
        <f t="shared" si="10"/>
        <v>15</v>
      </c>
      <c r="O131" s="3">
        <v>1</v>
      </c>
      <c r="P131" s="15">
        <f t="shared" si="11"/>
        <v>30</v>
      </c>
      <c r="Q131" s="9">
        <v>1</v>
      </c>
      <c r="R131" s="15">
        <f t="shared" si="12"/>
        <v>1</v>
      </c>
      <c r="S131" s="15">
        <f t="shared" si="13"/>
        <v>30</v>
      </c>
      <c r="T131" s="4">
        <f t="shared" si="14"/>
        <v>1.5</v>
      </c>
      <c r="U131" s="3">
        <f t="shared" si="15"/>
        <v>45</v>
      </c>
      <c r="V131" s="20"/>
    </row>
    <row r="132" spans="1:22" x14ac:dyDescent="0.3">
      <c r="A132" s="7"/>
      <c r="B132" s="62" t="s">
        <v>314</v>
      </c>
      <c r="C132" s="13" t="s">
        <v>17</v>
      </c>
      <c r="D132" s="65"/>
      <c r="E132" s="65"/>
      <c r="F132" s="65"/>
      <c r="G132" s="64">
        <v>5</v>
      </c>
      <c r="H132" s="15">
        <v>150</v>
      </c>
      <c r="I132" s="15">
        <v>45</v>
      </c>
      <c r="J132" s="3">
        <v>0.5</v>
      </c>
      <c r="K132" s="15">
        <f t="shared" si="8"/>
        <v>15</v>
      </c>
      <c r="L132" s="17">
        <v>1</v>
      </c>
      <c r="M132" s="15">
        <f t="shared" si="9"/>
        <v>0.5</v>
      </c>
      <c r="N132" s="15">
        <f t="shared" si="10"/>
        <v>15</v>
      </c>
      <c r="O132" s="3">
        <v>1</v>
      </c>
      <c r="P132" s="15">
        <f t="shared" si="11"/>
        <v>30</v>
      </c>
      <c r="Q132" s="9">
        <v>4</v>
      </c>
      <c r="R132" s="15">
        <f t="shared" si="12"/>
        <v>4</v>
      </c>
      <c r="S132" s="15">
        <f t="shared" si="13"/>
        <v>120</v>
      </c>
      <c r="T132" s="4">
        <f t="shared" si="14"/>
        <v>4.5</v>
      </c>
      <c r="U132" s="3">
        <f t="shared" si="15"/>
        <v>135</v>
      </c>
      <c r="V132" s="19"/>
    </row>
    <row r="133" spans="1:22" x14ac:dyDescent="0.3">
      <c r="A133" s="7"/>
      <c r="B133" s="63"/>
      <c r="C133" s="13" t="s">
        <v>18</v>
      </c>
      <c r="D133" s="65"/>
      <c r="E133" s="65"/>
      <c r="F133" s="65"/>
      <c r="G133" s="66"/>
      <c r="H133" s="15">
        <v>150</v>
      </c>
      <c r="I133" s="15">
        <v>45</v>
      </c>
      <c r="J133" s="3">
        <v>0.5</v>
      </c>
      <c r="K133" s="15">
        <f t="shared" si="8"/>
        <v>15</v>
      </c>
      <c r="L133" s="17">
        <v>1</v>
      </c>
      <c r="M133" s="15">
        <f t="shared" si="9"/>
        <v>0.5</v>
      </c>
      <c r="N133" s="15">
        <f t="shared" si="10"/>
        <v>15</v>
      </c>
      <c r="O133" s="3">
        <v>1</v>
      </c>
      <c r="P133" s="15">
        <f t="shared" si="11"/>
        <v>30</v>
      </c>
      <c r="Q133" s="9">
        <v>1</v>
      </c>
      <c r="R133" s="15">
        <f t="shared" si="12"/>
        <v>1</v>
      </c>
      <c r="S133" s="15">
        <f t="shared" si="13"/>
        <v>30</v>
      </c>
      <c r="T133" s="4">
        <f t="shared" si="14"/>
        <v>1.5</v>
      </c>
      <c r="U133" s="3">
        <f t="shared" si="15"/>
        <v>45</v>
      </c>
      <c r="V133" s="19"/>
    </row>
    <row r="134" spans="1:22" x14ac:dyDescent="0.3">
      <c r="A134" s="7"/>
      <c r="B134" s="62" t="s">
        <v>37</v>
      </c>
      <c r="C134" s="13" t="s">
        <v>17</v>
      </c>
      <c r="D134" s="65"/>
      <c r="E134" s="65"/>
      <c r="F134" s="65"/>
      <c r="G134" s="64">
        <v>4</v>
      </c>
      <c r="H134" s="15">
        <v>120</v>
      </c>
      <c r="I134" s="15">
        <v>45</v>
      </c>
      <c r="J134" s="3">
        <v>0.5</v>
      </c>
      <c r="K134" s="15">
        <f t="shared" si="8"/>
        <v>15</v>
      </c>
      <c r="L134" s="17">
        <v>1</v>
      </c>
      <c r="M134" s="15">
        <f t="shared" si="9"/>
        <v>0.5</v>
      </c>
      <c r="N134" s="15">
        <f t="shared" si="10"/>
        <v>15</v>
      </c>
      <c r="O134" s="3">
        <v>1</v>
      </c>
      <c r="P134" s="15">
        <f t="shared" si="11"/>
        <v>30</v>
      </c>
      <c r="Q134" s="9">
        <v>4</v>
      </c>
      <c r="R134" s="15">
        <f t="shared" si="12"/>
        <v>4</v>
      </c>
      <c r="S134" s="15">
        <f t="shared" si="13"/>
        <v>120</v>
      </c>
      <c r="T134" s="4">
        <f t="shared" si="14"/>
        <v>4.5</v>
      </c>
      <c r="U134" s="3">
        <f t="shared" si="15"/>
        <v>135</v>
      </c>
      <c r="V134" s="19"/>
    </row>
    <row r="135" spans="1:22" x14ac:dyDescent="0.3">
      <c r="A135" s="7"/>
      <c r="B135" s="63"/>
      <c r="C135" s="13" t="s">
        <v>18</v>
      </c>
      <c r="D135" s="65"/>
      <c r="E135" s="65"/>
      <c r="F135" s="65"/>
      <c r="G135" s="66"/>
      <c r="H135" s="15">
        <v>120</v>
      </c>
      <c r="I135" s="15">
        <v>45</v>
      </c>
      <c r="J135" s="3">
        <v>0.5</v>
      </c>
      <c r="K135" s="15">
        <f t="shared" ref="K135:K177" si="16">J135*30</f>
        <v>15</v>
      </c>
      <c r="L135" s="17">
        <v>1</v>
      </c>
      <c r="M135" s="15">
        <f t="shared" si="9"/>
        <v>0.5</v>
      </c>
      <c r="N135" s="15">
        <f t="shared" si="10"/>
        <v>15</v>
      </c>
      <c r="O135" s="3">
        <v>1</v>
      </c>
      <c r="P135" s="15">
        <f t="shared" ref="P135:P177" si="17">O135*30</f>
        <v>30</v>
      </c>
      <c r="Q135" s="9">
        <v>1</v>
      </c>
      <c r="R135" s="15">
        <f t="shared" si="12"/>
        <v>1</v>
      </c>
      <c r="S135" s="15">
        <f t="shared" si="13"/>
        <v>30</v>
      </c>
      <c r="T135" s="4">
        <f t="shared" si="14"/>
        <v>1.5</v>
      </c>
      <c r="U135" s="3">
        <f t="shared" si="15"/>
        <v>45</v>
      </c>
      <c r="V135" s="19"/>
    </row>
    <row r="136" spans="1:22" x14ac:dyDescent="0.3">
      <c r="A136" s="7"/>
      <c r="B136" s="62" t="s">
        <v>316</v>
      </c>
      <c r="C136" s="13" t="s">
        <v>17</v>
      </c>
      <c r="D136" s="65"/>
      <c r="E136" s="65"/>
      <c r="F136" s="65"/>
      <c r="G136" s="64">
        <v>5</v>
      </c>
      <c r="H136" s="15">
        <v>150</v>
      </c>
      <c r="I136" s="15">
        <v>45</v>
      </c>
      <c r="J136" s="3">
        <v>0.5</v>
      </c>
      <c r="K136" s="15">
        <f t="shared" si="16"/>
        <v>15</v>
      </c>
      <c r="L136" s="17">
        <v>1</v>
      </c>
      <c r="M136" s="15">
        <f t="shared" ref="M136:M177" si="18">J136*L136</f>
        <v>0.5</v>
      </c>
      <c r="N136" s="15">
        <f t="shared" ref="N136:N177" si="19">K136*L136</f>
        <v>15</v>
      </c>
      <c r="O136" s="3">
        <v>1</v>
      </c>
      <c r="P136" s="15">
        <f t="shared" si="17"/>
        <v>30</v>
      </c>
      <c r="Q136" s="9">
        <v>4</v>
      </c>
      <c r="R136" s="15">
        <f t="shared" ref="R136:R177" si="20">O136*Q136</f>
        <v>4</v>
      </c>
      <c r="S136" s="15">
        <f t="shared" ref="S136:S177" si="21">P136*Q136</f>
        <v>120</v>
      </c>
      <c r="T136" s="4">
        <f t="shared" ref="T136:T177" si="22">M136+R136</f>
        <v>4.5</v>
      </c>
      <c r="U136" s="3">
        <f t="shared" ref="U136:U177" si="23">N136+S136</f>
        <v>135</v>
      </c>
      <c r="V136" s="19"/>
    </row>
    <row r="137" spans="1:22" x14ac:dyDescent="0.3">
      <c r="A137" s="7"/>
      <c r="B137" s="63"/>
      <c r="C137" s="13" t="s">
        <v>18</v>
      </c>
      <c r="D137" s="66"/>
      <c r="E137" s="66"/>
      <c r="F137" s="66"/>
      <c r="G137" s="66"/>
      <c r="H137" s="15">
        <v>150</v>
      </c>
      <c r="I137" s="15">
        <v>45</v>
      </c>
      <c r="J137" s="3">
        <v>0.5</v>
      </c>
      <c r="K137" s="15">
        <f t="shared" si="16"/>
        <v>15</v>
      </c>
      <c r="L137" s="17">
        <v>1</v>
      </c>
      <c r="M137" s="15">
        <f t="shared" si="18"/>
        <v>0.5</v>
      </c>
      <c r="N137" s="15">
        <f t="shared" si="19"/>
        <v>15</v>
      </c>
      <c r="O137" s="3">
        <v>1</v>
      </c>
      <c r="P137" s="15">
        <f t="shared" si="17"/>
        <v>30</v>
      </c>
      <c r="Q137" s="9">
        <v>1</v>
      </c>
      <c r="R137" s="15">
        <f t="shared" si="20"/>
        <v>1</v>
      </c>
      <c r="S137" s="15">
        <f t="shared" si="21"/>
        <v>30</v>
      </c>
      <c r="T137" s="4">
        <f t="shared" si="22"/>
        <v>1.5</v>
      </c>
      <c r="U137" s="3">
        <f t="shared" si="23"/>
        <v>45</v>
      </c>
      <c r="V137" s="19"/>
    </row>
    <row r="138" spans="1:22" x14ac:dyDescent="0.3">
      <c r="A138" s="7"/>
      <c r="B138" s="62" t="s">
        <v>323</v>
      </c>
      <c r="C138" s="13" t="s">
        <v>17</v>
      </c>
      <c r="D138" s="64">
        <v>92</v>
      </c>
      <c r="E138" s="64">
        <v>12</v>
      </c>
      <c r="F138" s="64" t="s">
        <v>328</v>
      </c>
      <c r="G138" s="64">
        <v>5</v>
      </c>
      <c r="H138" s="15">
        <v>150</v>
      </c>
      <c r="I138" s="15">
        <v>45</v>
      </c>
      <c r="J138" s="3">
        <v>0.5</v>
      </c>
      <c r="K138" s="15">
        <f t="shared" si="16"/>
        <v>15</v>
      </c>
      <c r="L138" s="17">
        <v>1</v>
      </c>
      <c r="M138" s="15">
        <f t="shared" si="18"/>
        <v>0.5</v>
      </c>
      <c r="N138" s="15">
        <f t="shared" si="19"/>
        <v>15</v>
      </c>
      <c r="O138" s="3">
        <v>1</v>
      </c>
      <c r="P138" s="15">
        <f t="shared" si="17"/>
        <v>30</v>
      </c>
      <c r="Q138" s="38">
        <v>4</v>
      </c>
      <c r="R138" s="15">
        <f t="shared" si="20"/>
        <v>4</v>
      </c>
      <c r="S138" s="15">
        <f t="shared" si="21"/>
        <v>120</v>
      </c>
      <c r="T138" s="4">
        <f t="shared" si="22"/>
        <v>4.5</v>
      </c>
      <c r="U138" s="3">
        <f t="shared" si="23"/>
        <v>135</v>
      </c>
      <c r="V138" s="19"/>
    </row>
    <row r="139" spans="1:22" x14ac:dyDescent="0.3">
      <c r="A139" s="7"/>
      <c r="B139" s="63"/>
      <c r="C139" s="13" t="s">
        <v>18</v>
      </c>
      <c r="D139" s="65"/>
      <c r="E139" s="65"/>
      <c r="F139" s="65"/>
      <c r="G139" s="66"/>
      <c r="H139" s="15">
        <v>150</v>
      </c>
      <c r="I139" s="15">
        <v>45</v>
      </c>
      <c r="J139" s="3">
        <v>0.5</v>
      </c>
      <c r="K139" s="15">
        <f t="shared" si="16"/>
        <v>15</v>
      </c>
      <c r="L139" s="17">
        <v>1</v>
      </c>
      <c r="M139" s="15">
        <f t="shared" si="18"/>
        <v>0.5</v>
      </c>
      <c r="N139" s="15">
        <f t="shared" si="19"/>
        <v>15</v>
      </c>
      <c r="O139" s="3">
        <v>1</v>
      </c>
      <c r="P139" s="15">
        <f t="shared" si="17"/>
        <v>30</v>
      </c>
      <c r="Q139" s="38">
        <v>1</v>
      </c>
      <c r="R139" s="15">
        <f t="shared" si="20"/>
        <v>1</v>
      </c>
      <c r="S139" s="15">
        <f t="shared" si="21"/>
        <v>30</v>
      </c>
      <c r="T139" s="4">
        <f t="shared" si="22"/>
        <v>1.5</v>
      </c>
      <c r="U139" s="3">
        <f t="shared" si="23"/>
        <v>45</v>
      </c>
      <c r="V139" s="19"/>
    </row>
    <row r="140" spans="1:22" x14ac:dyDescent="0.3">
      <c r="A140" s="7"/>
      <c r="B140" s="62" t="s">
        <v>324</v>
      </c>
      <c r="C140" s="13" t="s">
        <v>17</v>
      </c>
      <c r="D140" s="65"/>
      <c r="E140" s="65"/>
      <c r="F140" s="65"/>
      <c r="G140" s="64">
        <v>5</v>
      </c>
      <c r="H140" s="15">
        <v>150</v>
      </c>
      <c r="I140" s="15">
        <v>45</v>
      </c>
      <c r="J140" s="3">
        <v>0.5</v>
      </c>
      <c r="K140" s="15">
        <f t="shared" si="16"/>
        <v>15</v>
      </c>
      <c r="L140" s="17">
        <v>1</v>
      </c>
      <c r="M140" s="15">
        <f t="shared" si="18"/>
        <v>0.5</v>
      </c>
      <c r="N140" s="15">
        <f t="shared" si="19"/>
        <v>15</v>
      </c>
      <c r="O140" s="3">
        <v>1</v>
      </c>
      <c r="P140" s="15">
        <f t="shared" si="17"/>
        <v>30</v>
      </c>
      <c r="Q140" s="38">
        <v>4</v>
      </c>
      <c r="R140" s="15">
        <f t="shared" si="20"/>
        <v>4</v>
      </c>
      <c r="S140" s="15">
        <f t="shared" si="21"/>
        <v>120</v>
      </c>
      <c r="T140" s="4">
        <f t="shared" si="22"/>
        <v>4.5</v>
      </c>
      <c r="U140" s="3">
        <f t="shared" si="23"/>
        <v>135</v>
      </c>
      <c r="V140" s="19"/>
    </row>
    <row r="141" spans="1:22" x14ac:dyDescent="0.3">
      <c r="A141" s="7"/>
      <c r="B141" s="63"/>
      <c r="C141" s="13" t="s">
        <v>18</v>
      </c>
      <c r="D141" s="65"/>
      <c r="E141" s="65"/>
      <c r="F141" s="65"/>
      <c r="G141" s="66"/>
      <c r="H141" s="15">
        <v>150</v>
      </c>
      <c r="I141" s="15">
        <v>45</v>
      </c>
      <c r="J141" s="3">
        <v>0.5</v>
      </c>
      <c r="K141" s="15">
        <f t="shared" si="16"/>
        <v>15</v>
      </c>
      <c r="L141" s="17">
        <v>1</v>
      </c>
      <c r="M141" s="15">
        <f t="shared" si="18"/>
        <v>0.5</v>
      </c>
      <c r="N141" s="15">
        <f t="shared" si="19"/>
        <v>15</v>
      </c>
      <c r="O141" s="3">
        <v>1</v>
      </c>
      <c r="P141" s="15">
        <f t="shared" si="17"/>
        <v>30</v>
      </c>
      <c r="Q141" s="38">
        <v>1</v>
      </c>
      <c r="R141" s="15">
        <f t="shared" si="20"/>
        <v>1</v>
      </c>
      <c r="S141" s="15">
        <f t="shared" si="21"/>
        <v>30</v>
      </c>
      <c r="T141" s="4">
        <f t="shared" si="22"/>
        <v>1.5</v>
      </c>
      <c r="U141" s="3">
        <f t="shared" si="23"/>
        <v>45</v>
      </c>
      <c r="V141" s="19"/>
    </row>
    <row r="142" spans="1:22" x14ac:dyDescent="0.3">
      <c r="A142" s="7"/>
      <c r="B142" s="62" t="s">
        <v>325</v>
      </c>
      <c r="C142" s="13" t="s">
        <v>17</v>
      </c>
      <c r="D142" s="65"/>
      <c r="E142" s="65"/>
      <c r="F142" s="65"/>
      <c r="G142" s="64">
        <v>5</v>
      </c>
      <c r="H142" s="15">
        <v>150</v>
      </c>
      <c r="I142" s="15">
        <v>45</v>
      </c>
      <c r="J142" s="3">
        <v>0.5</v>
      </c>
      <c r="K142" s="15">
        <f t="shared" si="16"/>
        <v>15</v>
      </c>
      <c r="L142" s="17">
        <v>1</v>
      </c>
      <c r="M142" s="15">
        <f t="shared" si="18"/>
        <v>0.5</v>
      </c>
      <c r="N142" s="15">
        <f t="shared" si="19"/>
        <v>15</v>
      </c>
      <c r="O142" s="3">
        <v>1</v>
      </c>
      <c r="P142" s="15">
        <f t="shared" si="17"/>
        <v>30</v>
      </c>
      <c r="Q142" s="38">
        <v>4</v>
      </c>
      <c r="R142" s="15">
        <f t="shared" si="20"/>
        <v>4</v>
      </c>
      <c r="S142" s="15">
        <f t="shared" si="21"/>
        <v>120</v>
      </c>
      <c r="T142" s="4">
        <f t="shared" si="22"/>
        <v>4.5</v>
      </c>
      <c r="U142" s="3">
        <f t="shared" si="23"/>
        <v>135</v>
      </c>
      <c r="V142" s="19"/>
    </row>
    <row r="143" spans="1:22" x14ac:dyDescent="0.3">
      <c r="A143" s="7"/>
      <c r="B143" s="63"/>
      <c r="C143" s="13" t="s">
        <v>18</v>
      </c>
      <c r="D143" s="65"/>
      <c r="E143" s="65"/>
      <c r="F143" s="65"/>
      <c r="G143" s="66"/>
      <c r="H143" s="15">
        <v>150</v>
      </c>
      <c r="I143" s="15">
        <v>45</v>
      </c>
      <c r="J143" s="3">
        <v>0.5</v>
      </c>
      <c r="K143" s="15">
        <f t="shared" si="16"/>
        <v>15</v>
      </c>
      <c r="L143" s="17">
        <v>1</v>
      </c>
      <c r="M143" s="15">
        <f t="shared" si="18"/>
        <v>0.5</v>
      </c>
      <c r="N143" s="15">
        <f t="shared" si="19"/>
        <v>15</v>
      </c>
      <c r="O143" s="3">
        <v>1</v>
      </c>
      <c r="P143" s="15">
        <f t="shared" si="17"/>
        <v>30</v>
      </c>
      <c r="Q143" s="38">
        <v>1</v>
      </c>
      <c r="R143" s="15">
        <f t="shared" si="20"/>
        <v>1</v>
      </c>
      <c r="S143" s="15">
        <f t="shared" si="21"/>
        <v>30</v>
      </c>
      <c r="T143" s="4">
        <f t="shared" si="22"/>
        <v>1.5</v>
      </c>
      <c r="U143" s="3">
        <f t="shared" si="23"/>
        <v>45</v>
      </c>
      <c r="V143" s="19"/>
    </row>
    <row r="144" spans="1:22" x14ac:dyDescent="0.3">
      <c r="B144" s="62" t="s">
        <v>326</v>
      </c>
      <c r="C144" s="13" t="s">
        <v>17</v>
      </c>
      <c r="D144" s="65"/>
      <c r="E144" s="65"/>
      <c r="F144" s="65"/>
      <c r="G144" s="64">
        <v>4</v>
      </c>
      <c r="H144" s="15">
        <v>120</v>
      </c>
      <c r="I144" s="15">
        <v>45</v>
      </c>
      <c r="J144" s="3">
        <v>0.5</v>
      </c>
      <c r="K144" s="15">
        <f t="shared" si="16"/>
        <v>15</v>
      </c>
      <c r="L144" s="17">
        <v>1</v>
      </c>
      <c r="M144" s="15">
        <f t="shared" si="18"/>
        <v>0.5</v>
      </c>
      <c r="N144" s="15">
        <f t="shared" si="19"/>
        <v>15</v>
      </c>
      <c r="O144" s="3">
        <v>1</v>
      </c>
      <c r="P144" s="15">
        <f t="shared" si="17"/>
        <v>30</v>
      </c>
      <c r="Q144" s="38">
        <v>4</v>
      </c>
      <c r="R144" s="15">
        <f t="shared" si="20"/>
        <v>4</v>
      </c>
      <c r="S144" s="15">
        <f t="shared" si="21"/>
        <v>120</v>
      </c>
      <c r="T144" s="4">
        <f t="shared" si="22"/>
        <v>4.5</v>
      </c>
      <c r="U144" s="3">
        <f t="shared" si="23"/>
        <v>135</v>
      </c>
      <c r="V144" s="19"/>
    </row>
    <row r="145" spans="1:22" x14ac:dyDescent="0.3">
      <c r="B145" s="63"/>
      <c r="C145" s="13" t="s">
        <v>18</v>
      </c>
      <c r="D145" s="65"/>
      <c r="E145" s="65"/>
      <c r="F145" s="65"/>
      <c r="G145" s="66"/>
      <c r="H145" s="15">
        <v>120</v>
      </c>
      <c r="I145" s="15">
        <v>45</v>
      </c>
      <c r="J145" s="3">
        <v>0.5</v>
      </c>
      <c r="K145" s="15">
        <f t="shared" si="16"/>
        <v>15</v>
      </c>
      <c r="L145" s="17">
        <v>1</v>
      </c>
      <c r="M145" s="15">
        <f t="shared" si="18"/>
        <v>0.5</v>
      </c>
      <c r="N145" s="15">
        <f t="shared" si="19"/>
        <v>15</v>
      </c>
      <c r="O145" s="3">
        <v>1</v>
      </c>
      <c r="P145" s="15">
        <f t="shared" si="17"/>
        <v>30</v>
      </c>
      <c r="Q145" s="38">
        <v>1</v>
      </c>
      <c r="R145" s="15">
        <f t="shared" si="20"/>
        <v>1</v>
      </c>
      <c r="S145" s="15">
        <f t="shared" si="21"/>
        <v>30</v>
      </c>
      <c r="T145" s="4">
        <f t="shared" si="22"/>
        <v>1.5</v>
      </c>
      <c r="U145" s="3">
        <f t="shared" si="23"/>
        <v>45</v>
      </c>
      <c r="V145" s="19"/>
    </row>
    <row r="146" spans="1:22" ht="35.549999999999997" customHeight="1" x14ac:dyDescent="0.3">
      <c r="B146" s="62" t="s">
        <v>327</v>
      </c>
      <c r="C146" s="13" t="s">
        <v>17</v>
      </c>
      <c r="D146" s="65"/>
      <c r="E146" s="65"/>
      <c r="F146" s="65"/>
      <c r="G146" s="64">
        <v>4</v>
      </c>
      <c r="H146" s="15">
        <v>120</v>
      </c>
      <c r="I146" s="15">
        <v>45</v>
      </c>
      <c r="J146" s="3">
        <v>0.5</v>
      </c>
      <c r="K146" s="15">
        <f t="shared" si="16"/>
        <v>15</v>
      </c>
      <c r="L146" s="17">
        <v>1</v>
      </c>
      <c r="M146" s="15">
        <f t="shared" si="18"/>
        <v>0.5</v>
      </c>
      <c r="N146" s="15">
        <f t="shared" si="19"/>
        <v>15</v>
      </c>
      <c r="O146" s="3">
        <v>1</v>
      </c>
      <c r="P146" s="15">
        <f t="shared" si="17"/>
        <v>30</v>
      </c>
      <c r="Q146" s="38">
        <v>4</v>
      </c>
      <c r="R146" s="15">
        <f t="shared" si="20"/>
        <v>4</v>
      </c>
      <c r="S146" s="15">
        <f t="shared" si="21"/>
        <v>120</v>
      </c>
      <c r="T146" s="4">
        <f t="shared" si="22"/>
        <v>4.5</v>
      </c>
      <c r="U146" s="3">
        <f t="shared" si="23"/>
        <v>135</v>
      </c>
      <c r="V146" s="19"/>
    </row>
    <row r="147" spans="1:22" ht="35.549999999999997" customHeight="1" x14ac:dyDescent="0.3">
      <c r="B147" s="63"/>
      <c r="C147" s="13" t="s">
        <v>18</v>
      </c>
      <c r="D147" s="66"/>
      <c r="E147" s="66"/>
      <c r="F147" s="66"/>
      <c r="G147" s="66"/>
      <c r="H147" s="15">
        <v>120</v>
      </c>
      <c r="I147" s="15">
        <v>45</v>
      </c>
      <c r="J147" s="3">
        <v>0.5</v>
      </c>
      <c r="K147" s="15">
        <f t="shared" si="16"/>
        <v>15</v>
      </c>
      <c r="L147" s="17">
        <v>1</v>
      </c>
      <c r="M147" s="15">
        <f t="shared" si="18"/>
        <v>0.5</v>
      </c>
      <c r="N147" s="15">
        <f t="shared" si="19"/>
        <v>15</v>
      </c>
      <c r="O147" s="3">
        <v>1</v>
      </c>
      <c r="P147" s="15">
        <f t="shared" si="17"/>
        <v>30</v>
      </c>
      <c r="Q147" s="38">
        <v>1</v>
      </c>
      <c r="R147" s="15">
        <f t="shared" si="20"/>
        <v>1</v>
      </c>
      <c r="S147" s="15">
        <f t="shared" si="21"/>
        <v>30</v>
      </c>
      <c r="T147" s="4">
        <f t="shared" si="22"/>
        <v>1.5</v>
      </c>
      <c r="U147" s="3">
        <f t="shared" si="23"/>
        <v>45</v>
      </c>
      <c r="V147" s="19"/>
    </row>
    <row r="148" spans="1:22" x14ac:dyDescent="0.3">
      <c r="B148" s="14" t="s">
        <v>34</v>
      </c>
      <c r="C148" s="64" t="s">
        <v>17</v>
      </c>
      <c r="D148" s="64">
        <v>75</v>
      </c>
      <c r="E148" s="64"/>
      <c r="F148" s="64" t="s">
        <v>28</v>
      </c>
      <c r="G148" s="12">
        <v>4</v>
      </c>
      <c r="H148" s="15">
        <v>120</v>
      </c>
      <c r="I148" s="15">
        <v>45</v>
      </c>
      <c r="J148" s="3">
        <v>0</v>
      </c>
      <c r="K148" s="15">
        <f t="shared" si="16"/>
        <v>0</v>
      </c>
      <c r="L148" s="9">
        <v>0</v>
      </c>
      <c r="M148" s="15">
        <f t="shared" si="18"/>
        <v>0</v>
      </c>
      <c r="N148" s="15">
        <f t="shared" si="19"/>
        <v>0</v>
      </c>
      <c r="O148" s="3">
        <v>1.5</v>
      </c>
      <c r="P148" s="15">
        <f t="shared" si="17"/>
        <v>45</v>
      </c>
      <c r="Q148" s="38">
        <v>4</v>
      </c>
      <c r="R148" s="15">
        <f t="shared" si="20"/>
        <v>6</v>
      </c>
      <c r="S148" s="15">
        <f t="shared" si="21"/>
        <v>180</v>
      </c>
      <c r="T148" s="4">
        <f t="shared" si="22"/>
        <v>6</v>
      </c>
      <c r="U148" s="3">
        <f t="shared" si="23"/>
        <v>180</v>
      </c>
      <c r="V148" s="19"/>
    </row>
    <row r="149" spans="1:22" ht="34.950000000000003" customHeight="1" x14ac:dyDescent="0.3">
      <c r="B149" s="14" t="s">
        <v>333</v>
      </c>
      <c r="C149" s="65"/>
      <c r="D149" s="65"/>
      <c r="E149" s="65"/>
      <c r="F149" s="65"/>
      <c r="G149" s="12">
        <v>5</v>
      </c>
      <c r="H149" s="15">
        <v>150</v>
      </c>
      <c r="I149" s="15">
        <v>45</v>
      </c>
      <c r="J149" s="3">
        <v>0.5</v>
      </c>
      <c r="K149" s="15">
        <f t="shared" si="16"/>
        <v>15</v>
      </c>
      <c r="L149" s="17">
        <v>1</v>
      </c>
      <c r="M149" s="15">
        <f t="shared" si="18"/>
        <v>0.5</v>
      </c>
      <c r="N149" s="15">
        <f t="shared" si="19"/>
        <v>15</v>
      </c>
      <c r="O149" s="3">
        <v>1</v>
      </c>
      <c r="P149" s="15">
        <f t="shared" si="17"/>
        <v>30</v>
      </c>
      <c r="Q149" s="17">
        <v>3</v>
      </c>
      <c r="R149" s="15">
        <f t="shared" si="20"/>
        <v>3</v>
      </c>
      <c r="S149" s="15">
        <f t="shared" si="21"/>
        <v>90</v>
      </c>
      <c r="T149" s="4">
        <f t="shared" si="22"/>
        <v>3.5</v>
      </c>
      <c r="U149" s="3">
        <f t="shared" si="23"/>
        <v>105</v>
      </c>
      <c r="V149" s="19"/>
    </row>
    <row r="150" spans="1:22" x14ac:dyDescent="0.35">
      <c r="A150" s="8"/>
      <c r="B150" s="14" t="s">
        <v>191</v>
      </c>
      <c r="C150" s="65"/>
      <c r="D150" s="65"/>
      <c r="E150" s="65"/>
      <c r="F150" s="65"/>
      <c r="G150" s="16">
        <v>5</v>
      </c>
      <c r="H150" s="15">
        <v>150</v>
      </c>
      <c r="I150" s="15">
        <v>45</v>
      </c>
      <c r="J150" s="3">
        <v>0.5</v>
      </c>
      <c r="K150" s="15">
        <f t="shared" si="16"/>
        <v>15</v>
      </c>
      <c r="L150" s="9">
        <v>1</v>
      </c>
      <c r="M150" s="15">
        <f t="shared" si="18"/>
        <v>0.5</v>
      </c>
      <c r="N150" s="15">
        <f t="shared" si="19"/>
        <v>15</v>
      </c>
      <c r="O150" s="3">
        <v>1</v>
      </c>
      <c r="P150" s="15">
        <f t="shared" si="17"/>
        <v>30</v>
      </c>
      <c r="Q150" s="9">
        <v>3</v>
      </c>
      <c r="R150" s="15">
        <f t="shared" si="20"/>
        <v>3</v>
      </c>
      <c r="S150" s="15">
        <f t="shared" si="21"/>
        <v>90</v>
      </c>
      <c r="T150" s="4">
        <f t="shared" si="22"/>
        <v>3.5</v>
      </c>
      <c r="U150" s="3">
        <f t="shared" si="23"/>
        <v>105</v>
      </c>
      <c r="V150" s="10"/>
    </row>
    <row r="151" spans="1:22" ht="39.6" customHeight="1" x14ac:dyDescent="0.35">
      <c r="A151" s="8"/>
      <c r="B151" s="14" t="s">
        <v>192</v>
      </c>
      <c r="C151" s="65"/>
      <c r="D151" s="65"/>
      <c r="E151" s="65"/>
      <c r="F151" s="65"/>
      <c r="G151" s="16">
        <v>5</v>
      </c>
      <c r="H151" s="15">
        <v>150</v>
      </c>
      <c r="I151" s="15">
        <v>45</v>
      </c>
      <c r="J151" s="3">
        <v>0.5</v>
      </c>
      <c r="K151" s="15">
        <f t="shared" si="16"/>
        <v>15</v>
      </c>
      <c r="L151" s="9">
        <v>1</v>
      </c>
      <c r="M151" s="15">
        <f t="shared" si="18"/>
        <v>0.5</v>
      </c>
      <c r="N151" s="15">
        <f t="shared" si="19"/>
        <v>15</v>
      </c>
      <c r="O151" s="3">
        <v>1</v>
      </c>
      <c r="P151" s="15">
        <f t="shared" si="17"/>
        <v>30</v>
      </c>
      <c r="Q151" s="9">
        <v>3</v>
      </c>
      <c r="R151" s="15">
        <f t="shared" si="20"/>
        <v>3</v>
      </c>
      <c r="S151" s="15">
        <f t="shared" si="21"/>
        <v>90</v>
      </c>
      <c r="T151" s="4">
        <f t="shared" si="22"/>
        <v>3.5</v>
      </c>
      <c r="U151" s="3">
        <f t="shared" si="23"/>
        <v>105</v>
      </c>
      <c r="V151" s="10"/>
    </row>
    <row r="152" spans="1:22" x14ac:dyDescent="0.3">
      <c r="A152" s="7"/>
      <c r="B152" s="14" t="s">
        <v>335</v>
      </c>
      <c r="C152" s="66"/>
      <c r="D152" s="65"/>
      <c r="E152" s="65"/>
      <c r="F152" s="65"/>
      <c r="G152" s="12">
        <v>4</v>
      </c>
      <c r="H152" s="15">
        <v>120</v>
      </c>
      <c r="I152" s="15">
        <v>45</v>
      </c>
      <c r="J152" s="3">
        <v>0.5</v>
      </c>
      <c r="K152" s="15">
        <f t="shared" si="16"/>
        <v>15</v>
      </c>
      <c r="L152" s="17">
        <v>1</v>
      </c>
      <c r="M152" s="15">
        <f t="shared" si="18"/>
        <v>0.5</v>
      </c>
      <c r="N152" s="15">
        <f t="shared" si="19"/>
        <v>15</v>
      </c>
      <c r="O152" s="3">
        <v>1</v>
      </c>
      <c r="P152" s="15">
        <f t="shared" si="17"/>
        <v>30</v>
      </c>
      <c r="Q152" s="17">
        <v>3</v>
      </c>
      <c r="R152" s="15">
        <f t="shared" si="20"/>
        <v>3</v>
      </c>
      <c r="S152" s="15">
        <f t="shared" si="21"/>
        <v>90</v>
      </c>
      <c r="T152" s="4">
        <f t="shared" si="22"/>
        <v>3.5</v>
      </c>
      <c r="U152" s="3">
        <f t="shared" si="23"/>
        <v>105</v>
      </c>
      <c r="V152" s="19"/>
    </row>
    <row r="153" spans="1:22" ht="38.549999999999997" customHeight="1" x14ac:dyDescent="0.3">
      <c r="A153" s="7"/>
      <c r="B153" s="14" t="s">
        <v>339</v>
      </c>
      <c r="C153" s="64" t="s">
        <v>18</v>
      </c>
      <c r="D153" s="64"/>
      <c r="E153" s="64">
        <v>48</v>
      </c>
      <c r="F153" s="64" t="s">
        <v>344</v>
      </c>
      <c r="G153" s="12">
        <v>5</v>
      </c>
      <c r="H153" s="15">
        <v>150</v>
      </c>
      <c r="I153" s="15">
        <v>45</v>
      </c>
      <c r="J153" s="3">
        <v>0.5</v>
      </c>
      <c r="K153" s="15">
        <f t="shared" si="16"/>
        <v>15</v>
      </c>
      <c r="L153" s="17">
        <v>1</v>
      </c>
      <c r="M153" s="15">
        <f t="shared" si="18"/>
        <v>0.5</v>
      </c>
      <c r="N153" s="15">
        <f t="shared" si="19"/>
        <v>15</v>
      </c>
      <c r="O153" s="3">
        <v>1</v>
      </c>
      <c r="P153" s="15">
        <f t="shared" si="17"/>
        <v>30</v>
      </c>
      <c r="Q153" s="17">
        <v>2</v>
      </c>
      <c r="R153" s="15">
        <f t="shared" si="20"/>
        <v>2</v>
      </c>
      <c r="S153" s="15">
        <f t="shared" si="21"/>
        <v>60</v>
      </c>
      <c r="T153" s="4">
        <f t="shared" si="22"/>
        <v>2.5</v>
      </c>
      <c r="U153" s="3">
        <f t="shared" si="23"/>
        <v>75</v>
      </c>
      <c r="V153" s="19"/>
    </row>
    <row r="154" spans="1:22" ht="36" customHeight="1" x14ac:dyDescent="0.3">
      <c r="A154" s="7"/>
      <c r="B154" s="14" t="s">
        <v>340</v>
      </c>
      <c r="C154" s="65"/>
      <c r="D154" s="65"/>
      <c r="E154" s="65"/>
      <c r="F154" s="65"/>
      <c r="G154" s="12">
        <v>4</v>
      </c>
      <c r="H154" s="15">
        <v>120</v>
      </c>
      <c r="I154" s="15">
        <v>45</v>
      </c>
      <c r="J154" s="3">
        <v>0.5</v>
      </c>
      <c r="K154" s="15">
        <f t="shared" si="16"/>
        <v>15</v>
      </c>
      <c r="L154" s="17">
        <v>1</v>
      </c>
      <c r="M154" s="15">
        <f t="shared" si="18"/>
        <v>0.5</v>
      </c>
      <c r="N154" s="15">
        <f t="shared" si="19"/>
        <v>15</v>
      </c>
      <c r="O154" s="3">
        <v>1</v>
      </c>
      <c r="P154" s="15">
        <f t="shared" si="17"/>
        <v>30</v>
      </c>
      <c r="Q154" s="17">
        <v>2</v>
      </c>
      <c r="R154" s="15">
        <f t="shared" si="20"/>
        <v>2</v>
      </c>
      <c r="S154" s="15">
        <f t="shared" si="21"/>
        <v>60</v>
      </c>
      <c r="T154" s="4">
        <f t="shared" si="22"/>
        <v>2.5</v>
      </c>
      <c r="U154" s="3">
        <f t="shared" si="23"/>
        <v>75</v>
      </c>
      <c r="V154" s="19"/>
    </row>
    <row r="155" spans="1:22" ht="36" customHeight="1" x14ac:dyDescent="0.3">
      <c r="A155" s="7"/>
      <c r="B155" s="14" t="s">
        <v>341</v>
      </c>
      <c r="C155" s="65"/>
      <c r="D155" s="65"/>
      <c r="E155" s="65"/>
      <c r="F155" s="65"/>
      <c r="G155" s="12">
        <v>4</v>
      </c>
      <c r="H155" s="15">
        <v>120</v>
      </c>
      <c r="I155" s="15">
        <v>45</v>
      </c>
      <c r="J155" s="3">
        <v>0.5</v>
      </c>
      <c r="K155" s="15">
        <f t="shared" si="16"/>
        <v>15</v>
      </c>
      <c r="L155" s="17">
        <v>1</v>
      </c>
      <c r="M155" s="15">
        <f t="shared" si="18"/>
        <v>0.5</v>
      </c>
      <c r="N155" s="15">
        <f t="shared" si="19"/>
        <v>15</v>
      </c>
      <c r="O155" s="3">
        <v>1</v>
      </c>
      <c r="P155" s="15">
        <f t="shared" si="17"/>
        <v>30</v>
      </c>
      <c r="Q155" s="17">
        <v>2</v>
      </c>
      <c r="R155" s="15">
        <f t="shared" si="20"/>
        <v>2</v>
      </c>
      <c r="S155" s="15">
        <f t="shared" si="21"/>
        <v>60</v>
      </c>
      <c r="T155" s="4">
        <f t="shared" si="22"/>
        <v>2.5</v>
      </c>
      <c r="U155" s="3">
        <f t="shared" si="23"/>
        <v>75</v>
      </c>
      <c r="V155" s="19"/>
    </row>
    <row r="156" spans="1:22" ht="55.2" customHeight="1" x14ac:dyDescent="0.3">
      <c r="A156" s="7"/>
      <c r="B156" s="14" t="s">
        <v>342</v>
      </c>
      <c r="C156" s="65"/>
      <c r="D156" s="65"/>
      <c r="E156" s="65"/>
      <c r="F156" s="65"/>
      <c r="G156" s="12">
        <v>4</v>
      </c>
      <c r="H156" s="15">
        <v>120</v>
      </c>
      <c r="I156" s="15">
        <v>45</v>
      </c>
      <c r="J156" s="3">
        <v>0.5</v>
      </c>
      <c r="K156" s="15">
        <f t="shared" si="16"/>
        <v>15</v>
      </c>
      <c r="L156" s="17">
        <v>1</v>
      </c>
      <c r="M156" s="15">
        <f t="shared" si="18"/>
        <v>0.5</v>
      </c>
      <c r="N156" s="15">
        <f t="shared" si="19"/>
        <v>15</v>
      </c>
      <c r="O156" s="3">
        <v>1</v>
      </c>
      <c r="P156" s="15">
        <f t="shared" si="17"/>
        <v>30</v>
      </c>
      <c r="Q156" s="17">
        <v>2</v>
      </c>
      <c r="R156" s="15">
        <f t="shared" si="20"/>
        <v>2</v>
      </c>
      <c r="S156" s="15">
        <f t="shared" si="21"/>
        <v>60</v>
      </c>
      <c r="T156" s="4">
        <f t="shared" si="22"/>
        <v>2.5</v>
      </c>
      <c r="U156" s="3">
        <f t="shared" si="23"/>
        <v>75</v>
      </c>
      <c r="V156" s="19"/>
    </row>
    <row r="157" spans="1:22" ht="56.55" customHeight="1" x14ac:dyDescent="0.3">
      <c r="A157" s="7"/>
      <c r="B157" s="14" t="s">
        <v>343</v>
      </c>
      <c r="C157" s="66"/>
      <c r="D157" s="65"/>
      <c r="E157" s="65"/>
      <c r="F157" s="65"/>
      <c r="G157" s="12">
        <v>4</v>
      </c>
      <c r="H157" s="15">
        <v>120</v>
      </c>
      <c r="I157" s="15">
        <v>45</v>
      </c>
      <c r="J157" s="3">
        <v>0.5</v>
      </c>
      <c r="K157" s="15">
        <f t="shared" si="16"/>
        <v>15</v>
      </c>
      <c r="L157" s="17">
        <v>1</v>
      </c>
      <c r="M157" s="15">
        <f t="shared" si="18"/>
        <v>0.5</v>
      </c>
      <c r="N157" s="15">
        <f t="shared" si="19"/>
        <v>15</v>
      </c>
      <c r="O157" s="3">
        <v>1</v>
      </c>
      <c r="P157" s="15">
        <f t="shared" si="17"/>
        <v>30</v>
      </c>
      <c r="Q157" s="17">
        <v>2</v>
      </c>
      <c r="R157" s="15">
        <f t="shared" si="20"/>
        <v>2</v>
      </c>
      <c r="S157" s="15">
        <f t="shared" si="21"/>
        <v>60</v>
      </c>
      <c r="T157" s="4">
        <f t="shared" si="22"/>
        <v>2.5</v>
      </c>
      <c r="U157" s="3">
        <f t="shared" si="23"/>
        <v>75</v>
      </c>
      <c r="V157" s="19"/>
    </row>
    <row r="158" spans="1:22" ht="34.950000000000003" customHeight="1" x14ac:dyDescent="0.3">
      <c r="B158" s="14" t="s">
        <v>350</v>
      </c>
      <c r="C158" s="64" t="s">
        <v>18</v>
      </c>
      <c r="D158" s="64"/>
      <c r="E158" s="64">
        <v>62</v>
      </c>
      <c r="F158" s="64" t="s">
        <v>354</v>
      </c>
      <c r="G158" s="12">
        <v>6</v>
      </c>
      <c r="H158" s="15">
        <v>180</v>
      </c>
      <c r="I158" s="15">
        <v>60</v>
      </c>
      <c r="J158" s="3">
        <v>1</v>
      </c>
      <c r="K158" s="15">
        <f t="shared" si="16"/>
        <v>30</v>
      </c>
      <c r="L158" s="17">
        <v>1</v>
      </c>
      <c r="M158" s="15">
        <f t="shared" si="18"/>
        <v>1</v>
      </c>
      <c r="N158" s="15">
        <f t="shared" si="19"/>
        <v>30</v>
      </c>
      <c r="O158" s="3">
        <v>1</v>
      </c>
      <c r="P158" s="15">
        <f t="shared" si="17"/>
        <v>30</v>
      </c>
      <c r="Q158" s="17">
        <v>3</v>
      </c>
      <c r="R158" s="15">
        <f t="shared" si="20"/>
        <v>3</v>
      </c>
      <c r="S158" s="15">
        <f t="shared" si="21"/>
        <v>90</v>
      </c>
      <c r="T158" s="4">
        <f t="shared" si="22"/>
        <v>4</v>
      </c>
      <c r="U158" s="3">
        <f t="shared" si="23"/>
        <v>120</v>
      </c>
      <c r="V158" s="19"/>
    </row>
    <row r="159" spans="1:22" ht="36" customHeight="1" x14ac:dyDescent="0.3">
      <c r="B159" s="14" t="s">
        <v>351</v>
      </c>
      <c r="C159" s="65"/>
      <c r="D159" s="65"/>
      <c r="E159" s="65"/>
      <c r="F159" s="65"/>
      <c r="G159" s="12">
        <v>6</v>
      </c>
      <c r="H159" s="15">
        <v>180</v>
      </c>
      <c r="I159" s="15">
        <v>60</v>
      </c>
      <c r="J159" s="3">
        <v>1</v>
      </c>
      <c r="K159" s="15">
        <f t="shared" si="16"/>
        <v>30</v>
      </c>
      <c r="L159" s="17">
        <v>1</v>
      </c>
      <c r="M159" s="15">
        <f t="shared" si="18"/>
        <v>1</v>
      </c>
      <c r="N159" s="15">
        <f t="shared" si="19"/>
        <v>30</v>
      </c>
      <c r="O159" s="3">
        <v>1</v>
      </c>
      <c r="P159" s="15">
        <f t="shared" si="17"/>
        <v>30</v>
      </c>
      <c r="Q159" s="17">
        <v>3</v>
      </c>
      <c r="R159" s="15">
        <f t="shared" si="20"/>
        <v>3</v>
      </c>
      <c r="S159" s="15">
        <f t="shared" si="21"/>
        <v>90</v>
      </c>
      <c r="T159" s="4">
        <f t="shared" si="22"/>
        <v>4</v>
      </c>
      <c r="U159" s="3">
        <f t="shared" si="23"/>
        <v>120</v>
      </c>
      <c r="V159" s="19"/>
    </row>
    <row r="160" spans="1:22" ht="36" x14ac:dyDescent="0.3">
      <c r="B160" s="14" t="s">
        <v>352</v>
      </c>
      <c r="C160" s="65"/>
      <c r="D160" s="65"/>
      <c r="E160" s="65"/>
      <c r="F160" s="65"/>
      <c r="G160" s="12">
        <v>5</v>
      </c>
      <c r="H160" s="15">
        <v>150</v>
      </c>
      <c r="I160" s="15">
        <v>45</v>
      </c>
      <c r="J160" s="3">
        <v>0.5</v>
      </c>
      <c r="K160" s="15">
        <f t="shared" si="16"/>
        <v>15</v>
      </c>
      <c r="L160" s="17">
        <v>1</v>
      </c>
      <c r="M160" s="15">
        <f t="shared" si="18"/>
        <v>0.5</v>
      </c>
      <c r="N160" s="15">
        <f t="shared" si="19"/>
        <v>15</v>
      </c>
      <c r="O160" s="3">
        <v>1</v>
      </c>
      <c r="P160" s="15">
        <f t="shared" si="17"/>
        <v>30</v>
      </c>
      <c r="Q160" s="17">
        <v>3</v>
      </c>
      <c r="R160" s="15">
        <f t="shared" si="20"/>
        <v>3</v>
      </c>
      <c r="S160" s="15">
        <f t="shared" si="21"/>
        <v>90</v>
      </c>
      <c r="T160" s="4">
        <f t="shared" si="22"/>
        <v>3.5</v>
      </c>
      <c r="U160" s="3">
        <f t="shared" si="23"/>
        <v>105</v>
      </c>
      <c r="V160" s="19"/>
    </row>
    <row r="161" spans="1:22" x14ac:dyDescent="0.3">
      <c r="B161" s="14" t="s">
        <v>353</v>
      </c>
      <c r="C161" s="66"/>
      <c r="D161" s="65"/>
      <c r="E161" s="65"/>
      <c r="F161" s="65"/>
      <c r="G161" s="12">
        <v>6</v>
      </c>
      <c r="H161" s="15">
        <v>180</v>
      </c>
      <c r="I161" s="15">
        <v>60</v>
      </c>
      <c r="J161" s="3">
        <v>0</v>
      </c>
      <c r="K161" s="15">
        <f t="shared" si="16"/>
        <v>0</v>
      </c>
      <c r="L161" s="9">
        <v>0</v>
      </c>
      <c r="M161" s="15">
        <f t="shared" si="18"/>
        <v>0</v>
      </c>
      <c r="N161" s="15">
        <f t="shared" si="19"/>
        <v>0</v>
      </c>
      <c r="O161" s="3">
        <v>2</v>
      </c>
      <c r="P161" s="15">
        <f t="shared" si="17"/>
        <v>60</v>
      </c>
      <c r="Q161" s="17">
        <v>3</v>
      </c>
      <c r="R161" s="15">
        <f t="shared" si="20"/>
        <v>6</v>
      </c>
      <c r="S161" s="15">
        <f t="shared" si="21"/>
        <v>180</v>
      </c>
      <c r="T161" s="4">
        <f t="shared" si="22"/>
        <v>6</v>
      </c>
      <c r="U161" s="3">
        <f t="shared" si="23"/>
        <v>180</v>
      </c>
      <c r="V161" s="19"/>
    </row>
    <row r="162" spans="1:22" x14ac:dyDescent="0.35">
      <c r="A162" s="8"/>
      <c r="B162" s="62" t="s">
        <v>164</v>
      </c>
      <c r="C162" s="13" t="s">
        <v>17</v>
      </c>
      <c r="D162" s="64">
        <v>47</v>
      </c>
      <c r="E162" s="64">
        <v>41</v>
      </c>
      <c r="F162" s="64" t="s">
        <v>363</v>
      </c>
      <c r="G162" s="87">
        <v>4</v>
      </c>
      <c r="H162" s="15">
        <v>120</v>
      </c>
      <c r="I162" s="15">
        <v>45</v>
      </c>
      <c r="J162" s="3">
        <v>0.5</v>
      </c>
      <c r="K162" s="15">
        <f t="shared" si="16"/>
        <v>15</v>
      </c>
      <c r="L162" s="9">
        <v>1</v>
      </c>
      <c r="M162" s="15">
        <f t="shared" si="18"/>
        <v>0.5</v>
      </c>
      <c r="N162" s="15">
        <f t="shared" si="19"/>
        <v>15</v>
      </c>
      <c r="O162" s="3">
        <v>1</v>
      </c>
      <c r="P162" s="15">
        <f t="shared" si="17"/>
        <v>30</v>
      </c>
      <c r="Q162" s="9">
        <v>2</v>
      </c>
      <c r="R162" s="15">
        <f t="shared" si="20"/>
        <v>2</v>
      </c>
      <c r="S162" s="15">
        <f t="shared" si="21"/>
        <v>60</v>
      </c>
      <c r="T162" s="4">
        <f t="shared" si="22"/>
        <v>2.5</v>
      </c>
      <c r="U162" s="3">
        <f t="shared" si="23"/>
        <v>75</v>
      </c>
      <c r="V162" s="10"/>
    </row>
    <row r="163" spans="1:22" x14ac:dyDescent="0.35">
      <c r="A163" s="8"/>
      <c r="B163" s="63"/>
      <c r="C163" s="13" t="s">
        <v>18</v>
      </c>
      <c r="D163" s="65"/>
      <c r="E163" s="65"/>
      <c r="F163" s="65"/>
      <c r="G163" s="88"/>
      <c r="H163" s="15">
        <v>120</v>
      </c>
      <c r="I163" s="15">
        <v>45</v>
      </c>
      <c r="J163" s="3">
        <v>0.5</v>
      </c>
      <c r="K163" s="15">
        <f t="shared" si="16"/>
        <v>15</v>
      </c>
      <c r="L163" s="9">
        <v>1</v>
      </c>
      <c r="M163" s="15">
        <f t="shared" si="18"/>
        <v>0.5</v>
      </c>
      <c r="N163" s="15">
        <f t="shared" si="19"/>
        <v>15</v>
      </c>
      <c r="O163" s="3">
        <v>1</v>
      </c>
      <c r="P163" s="15">
        <f t="shared" si="17"/>
        <v>30</v>
      </c>
      <c r="Q163" s="9">
        <v>2</v>
      </c>
      <c r="R163" s="15">
        <f t="shared" si="20"/>
        <v>2</v>
      </c>
      <c r="S163" s="15">
        <f t="shared" si="21"/>
        <v>60</v>
      </c>
      <c r="T163" s="4">
        <f t="shared" si="22"/>
        <v>2.5</v>
      </c>
      <c r="U163" s="3">
        <f t="shared" si="23"/>
        <v>75</v>
      </c>
      <c r="V163" s="20"/>
    </row>
    <row r="164" spans="1:22" ht="36" x14ac:dyDescent="0.35">
      <c r="A164" s="8" t="s">
        <v>414</v>
      </c>
      <c r="B164" s="14" t="s">
        <v>350</v>
      </c>
      <c r="C164" s="13" t="s">
        <v>206</v>
      </c>
      <c r="D164" s="65"/>
      <c r="E164" s="65"/>
      <c r="F164" s="65"/>
      <c r="G164" s="16">
        <v>5</v>
      </c>
      <c r="H164" s="15">
        <v>150</v>
      </c>
      <c r="I164" s="15">
        <v>45</v>
      </c>
      <c r="J164" s="3">
        <v>0.5</v>
      </c>
      <c r="K164" s="15">
        <f t="shared" si="16"/>
        <v>15</v>
      </c>
      <c r="L164" s="9">
        <v>1</v>
      </c>
      <c r="M164" s="15">
        <f t="shared" si="18"/>
        <v>0.5</v>
      </c>
      <c r="N164" s="15">
        <f t="shared" si="19"/>
        <v>15</v>
      </c>
      <c r="O164" s="3">
        <v>1</v>
      </c>
      <c r="P164" s="15">
        <f t="shared" si="17"/>
        <v>30</v>
      </c>
      <c r="Q164" s="39">
        <v>5</v>
      </c>
      <c r="R164" s="15">
        <f t="shared" si="20"/>
        <v>5</v>
      </c>
      <c r="S164" s="15">
        <f t="shared" si="21"/>
        <v>150</v>
      </c>
      <c r="T164" s="4">
        <f t="shared" si="22"/>
        <v>5.5</v>
      </c>
      <c r="U164" s="3">
        <f t="shared" si="23"/>
        <v>165</v>
      </c>
      <c r="V164" s="10"/>
    </row>
    <row r="165" spans="1:22" x14ac:dyDescent="0.3">
      <c r="A165" s="7"/>
      <c r="B165" s="62" t="s">
        <v>278</v>
      </c>
      <c r="C165" s="13" t="s">
        <v>17</v>
      </c>
      <c r="D165" s="65"/>
      <c r="E165" s="65"/>
      <c r="F165" s="65"/>
      <c r="G165" s="64">
        <v>4</v>
      </c>
      <c r="H165" s="15">
        <v>120</v>
      </c>
      <c r="I165" s="15">
        <v>45</v>
      </c>
      <c r="J165" s="3">
        <v>0.5</v>
      </c>
      <c r="K165" s="15">
        <f t="shared" si="16"/>
        <v>15</v>
      </c>
      <c r="L165" s="9">
        <v>1</v>
      </c>
      <c r="M165" s="15">
        <f t="shared" si="18"/>
        <v>0.5</v>
      </c>
      <c r="N165" s="15">
        <f t="shared" si="19"/>
        <v>15</v>
      </c>
      <c r="O165" s="3">
        <v>1</v>
      </c>
      <c r="P165" s="15">
        <f t="shared" si="17"/>
        <v>30</v>
      </c>
      <c r="Q165" s="17">
        <v>2</v>
      </c>
      <c r="R165" s="15">
        <f t="shared" si="20"/>
        <v>2</v>
      </c>
      <c r="S165" s="15">
        <f t="shared" si="21"/>
        <v>60</v>
      </c>
      <c r="T165" s="4">
        <f t="shared" si="22"/>
        <v>2.5</v>
      </c>
      <c r="U165" s="3">
        <f t="shared" si="23"/>
        <v>75</v>
      </c>
      <c r="V165" s="19"/>
    </row>
    <row r="166" spans="1:22" x14ac:dyDescent="0.3">
      <c r="A166" s="7"/>
      <c r="B166" s="63"/>
      <c r="C166" s="13" t="s">
        <v>18</v>
      </c>
      <c r="D166" s="65"/>
      <c r="E166" s="65"/>
      <c r="F166" s="65"/>
      <c r="G166" s="66"/>
      <c r="H166" s="15">
        <v>120</v>
      </c>
      <c r="I166" s="15">
        <v>45</v>
      </c>
      <c r="J166" s="3">
        <v>0.5</v>
      </c>
      <c r="K166" s="15">
        <f t="shared" si="16"/>
        <v>15</v>
      </c>
      <c r="L166" s="9">
        <v>1</v>
      </c>
      <c r="M166" s="15">
        <f t="shared" si="18"/>
        <v>0.5</v>
      </c>
      <c r="N166" s="15">
        <f t="shared" si="19"/>
        <v>15</v>
      </c>
      <c r="O166" s="3">
        <v>1</v>
      </c>
      <c r="P166" s="15">
        <f t="shared" si="17"/>
        <v>30</v>
      </c>
      <c r="Q166" s="17">
        <v>2</v>
      </c>
      <c r="R166" s="15">
        <f t="shared" si="20"/>
        <v>2</v>
      </c>
      <c r="S166" s="15">
        <f t="shared" si="21"/>
        <v>60</v>
      </c>
      <c r="T166" s="4">
        <f t="shared" si="22"/>
        <v>2.5</v>
      </c>
      <c r="U166" s="3">
        <f t="shared" si="23"/>
        <v>75</v>
      </c>
      <c r="V166" s="19"/>
    </row>
    <row r="167" spans="1:22" x14ac:dyDescent="0.3">
      <c r="A167" s="7"/>
      <c r="B167" s="62" t="s">
        <v>163</v>
      </c>
      <c r="C167" s="13" t="s">
        <v>17</v>
      </c>
      <c r="D167" s="65"/>
      <c r="E167" s="65"/>
      <c r="F167" s="65"/>
      <c r="G167" s="64">
        <v>4</v>
      </c>
      <c r="H167" s="15">
        <v>120</v>
      </c>
      <c r="I167" s="15">
        <v>45</v>
      </c>
      <c r="J167" s="3">
        <v>0.5</v>
      </c>
      <c r="K167" s="15">
        <f t="shared" si="16"/>
        <v>15</v>
      </c>
      <c r="L167" s="9">
        <v>1</v>
      </c>
      <c r="M167" s="15">
        <f t="shared" si="18"/>
        <v>0.5</v>
      </c>
      <c r="N167" s="15">
        <f t="shared" si="19"/>
        <v>15</v>
      </c>
      <c r="O167" s="3">
        <v>1</v>
      </c>
      <c r="P167" s="15">
        <f t="shared" si="17"/>
        <v>30</v>
      </c>
      <c r="Q167" s="17">
        <v>2</v>
      </c>
      <c r="R167" s="15">
        <f t="shared" si="20"/>
        <v>2</v>
      </c>
      <c r="S167" s="15">
        <f t="shared" si="21"/>
        <v>60</v>
      </c>
      <c r="T167" s="4">
        <f t="shared" si="22"/>
        <v>2.5</v>
      </c>
      <c r="U167" s="3">
        <f t="shared" si="23"/>
        <v>75</v>
      </c>
      <c r="V167" s="19"/>
    </row>
    <row r="168" spans="1:22" x14ac:dyDescent="0.3">
      <c r="A168" s="7"/>
      <c r="B168" s="63"/>
      <c r="C168" s="13" t="s">
        <v>18</v>
      </c>
      <c r="D168" s="65"/>
      <c r="E168" s="65"/>
      <c r="F168" s="65"/>
      <c r="G168" s="66"/>
      <c r="H168" s="15">
        <v>120</v>
      </c>
      <c r="I168" s="15">
        <v>45</v>
      </c>
      <c r="J168" s="3">
        <v>0.5</v>
      </c>
      <c r="K168" s="15">
        <f t="shared" si="16"/>
        <v>15</v>
      </c>
      <c r="L168" s="9">
        <v>1</v>
      </c>
      <c r="M168" s="15">
        <f t="shared" si="18"/>
        <v>0.5</v>
      </c>
      <c r="N168" s="15">
        <f t="shared" si="19"/>
        <v>15</v>
      </c>
      <c r="O168" s="3">
        <v>1</v>
      </c>
      <c r="P168" s="15">
        <f t="shared" si="17"/>
        <v>30</v>
      </c>
      <c r="Q168" s="17">
        <v>2</v>
      </c>
      <c r="R168" s="15">
        <f t="shared" si="20"/>
        <v>2</v>
      </c>
      <c r="S168" s="15">
        <f t="shared" si="21"/>
        <v>60</v>
      </c>
      <c r="T168" s="4">
        <f t="shared" si="22"/>
        <v>2.5</v>
      </c>
      <c r="U168" s="3">
        <f t="shared" si="23"/>
        <v>75</v>
      </c>
      <c r="V168" s="19"/>
    </row>
    <row r="169" spans="1:22" x14ac:dyDescent="0.3">
      <c r="A169" s="7"/>
      <c r="B169" s="62" t="s">
        <v>361</v>
      </c>
      <c r="C169" s="13" t="s">
        <v>17</v>
      </c>
      <c r="D169" s="65"/>
      <c r="E169" s="65"/>
      <c r="F169" s="65"/>
      <c r="G169" s="64">
        <v>3</v>
      </c>
      <c r="H169" s="15">
        <v>90</v>
      </c>
      <c r="I169" s="15">
        <v>30</v>
      </c>
      <c r="J169" s="3">
        <v>0.5</v>
      </c>
      <c r="K169" s="15">
        <f t="shared" si="16"/>
        <v>15</v>
      </c>
      <c r="L169" s="9">
        <v>1</v>
      </c>
      <c r="M169" s="15">
        <f t="shared" si="18"/>
        <v>0.5</v>
      </c>
      <c r="N169" s="15">
        <f t="shared" si="19"/>
        <v>15</v>
      </c>
      <c r="O169" s="3">
        <v>0.5</v>
      </c>
      <c r="P169" s="15">
        <f t="shared" si="17"/>
        <v>15</v>
      </c>
      <c r="Q169" s="17">
        <v>2</v>
      </c>
      <c r="R169" s="15">
        <f t="shared" si="20"/>
        <v>1</v>
      </c>
      <c r="S169" s="15">
        <f t="shared" si="21"/>
        <v>30</v>
      </c>
      <c r="T169" s="4">
        <f t="shared" si="22"/>
        <v>1.5</v>
      </c>
      <c r="U169" s="3">
        <f t="shared" si="23"/>
        <v>45</v>
      </c>
      <c r="V169" s="19"/>
    </row>
    <row r="170" spans="1:22" x14ac:dyDescent="0.3">
      <c r="A170" s="7"/>
      <c r="B170" s="63"/>
      <c r="C170" s="13" t="s">
        <v>18</v>
      </c>
      <c r="D170" s="65"/>
      <c r="E170" s="65"/>
      <c r="F170" s="65"/>
      <c r="G170" s="66"/>
      <c r="H170" s="15">
        <v>90</v>
      </c>
      <c r="I170" s="15">
        <v>30</v>
      </c>
      <c r="J170" s="3">
        <v>0.5</v>
      </c>
      <c r="K170" s="15">
        <f t="shared" si="16"/>
        <v>15</v>
      </c>
      <c r="L170" s="9">
        <v>1</v>
      </c>
      <c r="M170" s="15">
        <f t="shared" si="18"/>
        <v>0.5</v>
      </c>
      <c r="N170" s="15">
        <f t="shared" si="19"/>
        <v>15</v>
      </c>
      <c r="O170" s="3">
        <v>0.5</v>
      </c>
      <c r="P170" s="15">
        <f t="shared" si="17"/>
        <v>15</v>
      </c>
      <c r="Q170" s="17">
        <v>2</v>
      </c>
      <c r="R170" s="15">
        <f t="shared" si="20"/>
        <v>1</v>
      </c>
      <c r="S170" s="15">
        <f t="shared" si="21"/>
        <v>30</v>
      </c>
      <c r="T170" s="4">
        <f t="shared" si="22"/>
        <v>1.5</v>
      </c>
      <c r="U170" s="3">
        <f t="shared" si="23"/>
        <v>45</v>
      </c>
      <c r="V170" s="19"/>
    </row>
    <row r="171" spans="1:22" x14ac:dyDescent="0.3">
      <c r="A171" s="7" t="s">
        <v>414</v>
      </c>
      <c r="B171" s="14" t="s">
        <v>362</v>
      </c>
      <c r="C171" s="13" t="s">
        <v>206</v>
      </c>
      <c r="D171" s="65"/>
      <c r="E171" s="65"/>
      <c r="F171" s="65"/>
      <c r="G171" s="12">
        <v>5</v>
      </c>
      <c r="H171" s="15">
        <v>150</v>
      </c>
      <c r="I171" s="15">
        <v>45</v>
      </c>
      <c r="J171" s="3">
        <v>0</v>
      </c>
      <c r="K171" s="15">
        <f t="shared" si="16"/>
        <v>0</v>
      </c>
      <c r="L171" s="9">
        <v>0</v>
      </c>
      <c r="M171" s="15">
        <f t="shared" si="18"/>
        <v>0</v>
      </c>
      <c r="N171" s="15">
        <f t="shared" si="19"/>
        <v>0</v>
      </c>
      <c r="O171" s="3">
        <v>1.5</v>
      </c>
      <c r="P171" s="15">
        <f t="shared" si="17"/>
        <v>45</v>
      </c>
      <c r="Q171" s="38">
        <v>5</v>
      </c>
      <c r="R171" s="15">
        <f t="shared" si="20"/>
        <v>7.5</v>
      </c>
      <c r="S171" s="15">
        <f t="shared" si="21"/>
        <v>225</v>
      </c>
      <c r="T171" s="4">
        <f t="shared" si="22"/>
        <v>7.5</v>
      </c>
      <c r="U171" s="3">
        <f t="shared" si="23"/>
        <v>225</v>
      </c>
      <c r="V171" s="19"/>
    </row>
    <row r="172" spans="1:22" ht="36" x14ac:dyDescent="0.3">
      <c r="A172" s="7"/>
      <c r="B172" s="14" t="s">
        <v>366</v>
      </c>
      <c r="C172" s="64" t="s">
        <v>206</v>
      </c>
      <c r="D172" s="64">
        <v>203</v>
      </c>
      <c r="E172" s="64">
        <v>73</v>
      </c>
      <c r="F172" s="64" t="s">
        <v>29</v>
      </c>
      <c r="G172" s="12">
        <v>6</v>
      </c>
      <c r="H172" s="15">
        <v>180</v>
      </c>
      <c r="I172" s="15">
        <v>60</v>
      </c>
      <c r="J172" s="3">
        <v>1</v>
      </c>
      <c r="K172" s="15">
        <f t="shared" si="16"/>
        <v>30</v>
      </c>
      <c r="L172" s="17">
        <v>3</v>
      </c>
      <c r="M172" s="15">
        <f t="shared" si="18"/>
        <v>3</v>
      </c>
      <c r="N172" s="15">
        <f t="shared" si="19"/>
        <v>90</v>
      </c>
      <c r="O172" s="3">
        <v>1</v>
      </c>
      <c r="P172" s="15">
        <f t="shared" si="17"/>
        <v>30</v>
      </c>
      <c r="Q172" s="17">
        <v>13</v>
      </c>
      <c r="R172" s="15">
        <f t="shared" si="20"/>
        <v>13</v>
      </c>
      <c r="S172" s="15">
        <f t="shared" si="21"/>
        <v>390</v>
      </c>
      <c r="T172" s="4">
        <f t="shared" si="22"/>
        <v>16</v>
      </c>
      <c r="U172" s="3">
        <f t="shared" si="23"/>
        <v>480</v>
      </c>
      <c r="V172" s="19"/>
    </row>
    <row r="173" spans="1:22" ht="36" x14ac:dyDescent="0.3">
      <c r="A173" s="7"/>
      <c r="B173" s="14" t="s">
        <v>368</v>
      </c>
      <c r="C173" s="65"/>
      <c r="D173" s="65"/>
      <c r="E173" s="65"/>
      <c r="F173" s="65"/>
      <c r="G173" s="12">
        <v>3</v>
      </c>
      <c r="H173" s="15">
        <v>90</v>
      </c>
      <c r="I173" s="15">
        <v>30</v>
      </c>
      <c r="J173" s="3">
        <v>0.5</v>
      </c>
      <c r="K173" s="15">
        <f t="shared" si="16"/>
        <v>15</v>
      </c>
      <c r="L173" s="17">
        <v>3</v>
      </c>
      <c r="M173" s="15">
        <f t="shared" si="18"/>
        <v>1.5</v>
      </c>
      <c r="N173" s="15">
        <f t="shared" si="19"/>
        <v>45</v>
      </c>
      <c r="O173" s="3">
        <v>0.5</v>
      </c>
      <c r="P173" s="15">
        <f t="shared" si="17"/>
        <v>15</v>
      </c>
      <c r="Q173" s="17">
        <v>13</v>
      </c>
      <c r="R173" s="15">
        <f t="shared" si="20"/>
        <v>6.5</v>
      </c>
      <c r="S173" s="15">
        <f t="shared" si="21"/>
        <v>195</v>
      </c>
      <c r="T173" s="4">
        <f t="shared" si="22"/>
        <v>8</v>
      </c>
      <c r="U173" s="3">
        <f t="shared" si="23"/>
        <v>240</v>
      </c>
      <c r="V173" s="19"/>
    </row>
    <row r="174" spans="1:22" x14ac:dyDescent="0.3">
      <c r="A174" s="7"/>
      <c r="B174" s="14" t="s">
        <v>369</v>
      </c>
      <c r="C174" s="65"/>
      <c r="D174" s="65"/>
      <c r="E174" s="65"/>
      <c r="F174" s="65"/>
      <c r="G174" s="12">
        <v>6</v>
      </c>
      <c r="H174" s="15">
        <v>180</v>
      </c>
      <c r="I174" s="15">
        <v>60</v>
      </c>
      <c r="J174" s="3">
        <v>0</v>
      </c>
      <c r="K174" s="15">
        <f t="shared" si="16"/>
        <v>0</v>
      </c>
      <c r="L174" s="9">
        <v>0</v>
      </c>
      <c r="M174" s="15">
        <f t="shared" si="18"/>
        <v>0</v>
      </c>
      <c r="N174" s="15">
        <f t="shared" si="19"/>
        <v>0</v>
      </c>
      <c r="O174" s="3">
        <v>2</v>
      </c>
      <c r="P174" s="15">
        <f t="shared" si="17"/>
        <v>60</v>
      </c>
      <c r="Q174" s="17">
        <v>13</v>
      </c>
      <c r="R174" s="15">
        <f t="shared" si="20"/>
        <v>26</v>
      </c>
      <c r="S174" s="15">
        <f t="shared" si="21"/>
        <v>780</v>
      </c>
      <c r="T174" s="4">
        <f t="shared" si="22"/>
        <v>26</v>
      </c>
      <c r="U174" s="3">
        <f t="shared" si="23"/>
        <v>780</v>
      </c>
      <c r="V174" s="19"/>
    </row>
    <row r="175" spans="1:22" x14ac:dyDescent="0.3">
      <c r="A175" s="7"/>
      <c r="B175" s="14" t="s">
        <v>34</v>
      </c>
      <c r="C175" s="65"/>
      <c r="D175" s="65"/>
      <c r="E175" s="65"/>
      <c r="F175" s="65"/>
      <c r="G175" s="12">
        <v>4</v>
      </c>
      <c r="H175" s="15">
        <v>120</v>
      </c>
      <c r="I175" s="15">
        <v>45</v>
      </c>
      <c r="J175" s="3">
        <v>0</v>
      </c>
      <c r="K175" s="15">
        <f t="shared" si="16"/>
        <v>0</v>
      </c>
      <c r="L175" s="9">
        <v>0</v>
      </c>
      <c r="M175" s="15">
        <f t="shared" si="18"/>
        <v>0</v>
      </c>
      <c r="N175" s="15">
        <f t="shared" si="19"/>
        <v>0</v>
      </c>
      <c r="O175" s="3">
        <v>1.5</v>
      </c>
      <c r="P175" s="15">
        <f t="shared" si="17"/>
        <v>45</v>
      </c>
      <c r="Q175" s="17">
        <v>13</v>
      </c>
      <c r="R175" s="15">
        <f t="shared" si="20"/>
        <v>19.5</v>
      </c>
      <c r="S175" s="15">
        <f t="shared" si="21"/>
        <v>585</v>
      </c>
      <c r="T175" s="4">
        <f t="shared" si="22"/>
        <v>19.5</v>
      </c>
      <c r="U175" s="3">
        <f t="shared" si="23"/>
        <v>585</v>
      </c>
      <c r="V175" s="19"/>
    </row>
    <row r="176" spans="1:22" ht="127.2" customHeight="1" x14ac:dyDescent="0.3">
      <c r="B176" s="14" t="s">
        <v>205</v>
      </c>
      <c r="C176" s="66"/>
      <c r="D176" s="65"/>
      <c r="E176" s="65"/>
      <c r="F176" s="65"/>
      <c r="G176" s="12">
        <v>4</v>
      </c>
      <c r="H176" s="15">
        <v>120</v>
      </c>
      <c r="I176" s="15">
        <v>45</v>
      </c>
      <c r="J176" s="3">
        <v>0</v>
      </c>
      <c r="K176" s="15">
        <f t="shared" si="16"/>
        <v>0</v>
      </c>
      <c r="L176" s="9">
        <v>0</v>
      </c>
      <c r="M176" s="15">
        <f t="shared" si="18"/>
        <v>0</v>
      </c>
      <c r="N176" s="15">
        <f t="shared" si="19"/>
        <v>0</v>
      </c>
      <c r="O176" s="3">
        <v>1.5</v>
      </c>
      <c r="P176" s="15">
        <f t="shared" si="17"/>
        <v>45</v>
      </c>
      <c r="Q176" s="38">
        <v>13</v>
      </c>
      <c r="R176" s="15">
        <f t="shared" si="20"/>
        <v>19.5</v>
      </c>
      <c r="S176" s="15">
        <f t="shared" si="21"/>
        <v>585</v>
      </c>
      <c r="T176" s="4">
        <f t="shared" si="22"/>
        <v>19.5</v>
      </c>
      <c r="U176" s="3">
        <f t="shared" si="23"/>
        <v>585</v>
      </c>
      <c r="V176" s="29" t="s">
        <v>415</v>
      </c>
    </row>
    <row r="177" spans="1:22" ht="36" x14ac:dyDescent="0.35">
      <c r="A177" s="8"/>
      <c r="B177" s="46" t="s">
        <v>375</v>
      </c>
      <c r="C177" s="13" t="s">
        <v>206</v>
      </c>
      <c r="D177" s="12">
        <v>61</v>
      </c>
      <c r="E177" s="12">
        <v>66</v>
      </c>
      <c r="F177" s="15" t="s">
        <v>377</v>
      </c>
      <c r="G177" s="16">
        <v>3</v>
      </c>
      <c r="H177" s="15">
        <v>90</v>
      </c>
      <c r="I177" s="15">
        <v>30</v>
      </c>
      <c r="J177" s="3">
        <v>0</v>
      </c>
      <c r="K177" s="15">
        <f t="shared" si="16"/>
        <v>0</v>
      </c>
      <c r="L177" s="9">
        <v>0</v>
      </c>
      <c r="M177" s="15">
        <f t="shared" si="18"/>
        <v>0</v>
      </c>
      <c r="N177" s="15">
        <f t="shared" si="19"/>
        <v>0</v>
      </c>
      <c r="O177" s="3">
        <v>1</v>
      </c>
      <c r="P177" s="15">
        <f t="shared" si="17"/>
        <v>30</v>
      </c>
      <c r="Q177" s="39">
        <v>7</v>
      </c>
      <c r="R177" s="15">
        <f t="shared" si="20"/>
        <v>7</v>
      </c>
      <c r="S177" s="15">
        <f t="shared" si="21"/>
        <v>210</v>
      </c>
      <c r="T177" s="4">
        <f t="shared" si="22"/>
        <v>7</v>
      </c>
      <c r="U177" s="3">
        <f t="shared" si="23"/>
        <v>210</v>
      </c>
      <c r="V177" s="10"/>
    </row>
    <row r="178" spans="1:22" x14ac:dyDescent="0.35">
      <c r="A178" s="8"/>
      <c r="B178" s="44" t="s">
        <v>379</v>
      </c>
      <c r="C178" s="15" t="s">
        <v>18</v>
      </c>
      <c r="D178" s="15"/>
      <c r="E178" s="15">
        <v>47</v>
      </c>
      <c r="F178" s="15" t="s">
        <v>74</v>
      </c>
      <c r="G178" s="19">
        <v>4</v>
      </c>
      <c r="H178" s="15">
        <v>120</v>
      </c>
      <c r="I178" s="15">
        <v>45</v>
      </c>
      <c r="J178" s="3">
        <v>0</v>
      </c>
      <c r="K178" s="15">
        <f>J178*30</f>
        <v>0</v>
      </c>
      <c r="L178" s="9">
        <v>0</v>
      </c>
      <c r="M178" s="15">
        <f>J178*L178</f>
        <v>0</v>
      </c>
      <c r="N178" s="15">
        <f>K178*L178</f>
        <v>0</v>
      </c>
      <c r="O178" s="3">
        <v>1.5</v>
      </c>
      <c r="P178" s="15">
        <f>O178*30</f>
        <v>45</v>
      </c>
      <c r="Q178" s="9">
        <v>3</v>
      </c>
      <c r="R178" s="15">
        <f>O178*Q178</f>
        <v>4.5</v>
      </c>
      <c r="S178" s="15">
        <f>P178*Q178</f>
        <v>135</v>
      </c>
      <c r="T178" s="4">
        <f>M178+R178</f>
        <v>4.5</v>
      </c>
      <c r="U178" s="3">
        <f>N178+S178</f>
        <v>135</v>
      </c>
      <c r="V178" s="10"/>
    </row>
  </sheetData>
  <autoFilter ref="A4:V178" xr:uid="{00000000-0009-0000-0000-000004000000}"/>
  <mergeCells count="230">
    <mergeCell ref="F172:F176"/>
    <mergeCell ref="D172:D176"/>
    <mergeCell ref="E172:E176"/>
    <mergeCell ref="C172:C176"/>
    <mergeCell ref="F148:F152"/>
    <mergeCell ref="F153:F157"/>
    <mergeCell ref="F158:F161"/>
    <mergeCell ref="B162:B163"/>
    <mergeCell ref="G162:G163"/>
    <mergeCell ref="F162:F171"/>
    <mergeCell ref="B167:B168"/>
    <mergeCell ref="G167:G168"/>
    <mergeCell ref="B165:B166"/>
    <mergeCell ref="G165:G166"/>
    <mergeCell ref="B169:B170"/>
    <mergeCell ref="G169:G170"/>
    <mergeCell ref="D162:D171"/>
    <mergeCell ref="E162:E171"/>
    <mergeCell ref="D158:D161"/>
    <mergeCell ref="E158:E161"/>
    <mergeCell ref="D153:D157"/>
    <mergeCell ref="E153:E157"/>
    <mergeCell ref="D148:D152"/>
    <mergeCell ref="E148:E152"/>
    <mergeCell ref="C148:C152"/>
    <mergeCell ref="C153:C157"/>
    <mergeCell ref="C158:C161"/>
    <mergeCell ref="B136:B137"/>
    <mergeCell ref="G136:G137"/>
    <mergeCell ref="B138:B139"/>
    <mergeCell ref="G138:G139"/>
    <mergeCell ref="B142:B143"/>
    <mergeCell ref="G142:G143"/>
    <mergeCell ref="B140:B141"/>
    <mergeCell ref="G140:G141"/>
    <mergeCell ref="B146:B147"/>
    <mergeCell ref="G146:G147"/>
    <mergeCell ref="B144:B145"/>
    <mergeCell ref="G144:G145"/>
    <mergeCell ref="F138:F147"/>
    <mergeCell ref="E138:E147"/>
    <mergeCell ref="D138:D147"/>
    <mergeCell ref="B130:B131"/>
    <mergeCell ref="G130:G131"/>
    <mergeCell ref="B128:B129"/>
    <mergeCell ref="G128:G129"/>
    <mergeCell ref="F128:F137"/>
    <mergeCell ref="B134:B135"/>
    <mergeCell ref="G134:G135"/>
    <mergeCell ref="B132:B133"/>
    <mergeCell ref="G132:G133"/>
    <mergeCell ref="D128:D137"/>
    <mergeCell ref="E128:E137"/>
    <mergeCell ref="B118:B119"/>
    <mergeCell ref="G118:G119"/>
    <mergeCell ref="B116:B117"/>
    <mergeCell ref="G116:G117"/>
    <mergeCell ref="F118:F127"/>
    <mergeCell ref="B122:B123"/>
    <mergeCell ref="G122:G123"/>
    <mergeCell ref="B120:B121"/>
    <mergeCell ref="G120:G121"/>
    <mergeCell ref="B126:B127"/>
    <mergeCell ref="G126:G127"/>
    <mergeCell ref="B124:B125"/>
    <mergeCell ref="G124:G125"/>
    <mergeCell ref="D118:D127"/>
    <mergeCell ref="E118:E127"/>
    <mergeCell ref="B110:B111"/>
    <mergeCell ref="G110:G111"/>
    <mergeCell ref="B108:B109"/>
    <mergeCell ref="G108:G109"/>
    <mergeCell ref="F110:F117"/>
    <mergeCell ref="B114:B115"/>
    <mergeCell ref="G114:G115"/>
    <mergeCell ref="B112:B113"/>
    <mergeCell ref="G112:G113"/>
    <mergeCell ref="D110:D117"/>
    <mergeCell ref="E110:E117"/>
    <mergeCell ref="F98:F101"/>
    <mergeCell ref="D98:D101"/>
    <mergeCell ref="E98:E101"/>
    <mergeCell ref="E88:E97"/>
    <mergeCell ref="B102:B103"/>
    <mergeCell ref="G102:G103"/>
    <mergeCell ref="F102:F109"/>
    <mergeCell ref="B106:B107"/>
    <mergeCell ref="G106:G107"/>
    <mergeCell ref="B104:B105"/>
    <mergeCell ref="G104:G105"/>
    <mergeCell ref="D102:D109"/>
    <mergeCell ref="E102:E109"/>
    <mergeCell ref="C98:C101"/>
    <mergeCell ref="F83:F87"/>
    <mergeCell ref="B90:B91"/>
    <mergeCell ref="G90:G91"/>
    <mergeCell ref="B88:B89"/>
    <mergeCell ref="G88:G89"/>
    <mergeCell ref="F88:F97"/>
    <mergeCell ref="B94:B95"/>
    <mergeCell ref="G94:G95"/>
    <mergeCell ref="B92:B93"/>
    <mergeCell ref="G92:G93"/>
    <mergeCell ref="D88:D97"/>
    <mergeCell ref="B96:B97"/>
    <mergeCell ref="G96:G97"/>
    <mergeCell ref="D83:D87"/>
    <mergeCell ref="E83:E87"/>
    <mergeCell ref="C83:C87"/>
    <mergeCell ref="B68:B69"/>
    <mergeCell ref="G68:G69"/>
    <mergeCell ref="B66:B67"/>
    <mergeCell ref="G66:G67"/>
    <mergeCell ref="F68:F82"/>
    <mergeCell ref="B72:B73"/>
    <mergeCell ref="G72:G73"/>
    <mergeCell ref="B74:B75"/>
    <mergeCell ref="G74:G75"/>
    <mergeCell ref="B79:B80"/>
    <mergeCell ref="G79:G80"/>
    <mergeCell ref="B77:B78"/>
    <mergeCell ref="G77:G78"/>
    <mergeCell ref="B81:B82"/>
    <mergeCell ref="G81:G82"/>
    <mergeCell ref="D68:D82"/>
    <mergeCell ref="E68:E82"/>
    <mergeCell ref="B70:B71"/>
    <mergeCell ref="G70:G71"/>
    <mergeCell ref="F49:F53"/>
    <mergeCell ref="B56:B57"/>
    <mergeCell ref="G56:G57"/>
    <mergeCell ref="B54:B55"/>
    <mergeCell ref="G54:G55"/>
    <mergeCell ref="F54:F67"/>
    <mergeCell ref="B60:B61"/>
    <mergeCell ref="G60:G61"/>
    <mergeCell ref="B58:B59"/>
    <mergeCell ref="G58:G59"/>
    <mergeCell ref="B64:B65"/>
    <mergeCell ref="G64:G65"/>
    <mergeCell ref="B62:B63"/>
    <mergeCell ref="G62:G63"/>
    <mergeCell ref="D54:D67"/>
    <mergeCell ref="E54:E67"/>
    <mergeCell ref="D49:D53"/>
    <mergeCell ref="E49:E53"/>
    <mergeCell ref="C49:C53"/>
    <mergeCell ref="B45:B46"/>
    <mergeCell ref="G45:G46"/>
    <mergeCell ref="B43:B44"/>
    <mergeCell ref="G43:G44"/>
    <mergeCell ref="F39:F40"/>
    <mergeCell ref="F41:F48"/>
    <mergeCell ref="D41:D48"/>
    <mergeCell ref="E41:E48"/>
    <mergeCell ref="B47:B48"/>
    <mergeCell ref="G47:G48"/>
    <mergeCell ref="F34:F38"/>
    <mergeCell ref="D34:D38"/>
    <mergeCell ref="E34:E38"/>
    <mergeCell ref="B41:B42"/>
    <mergeCell ref="G41:G42"/>
    <mergeCell ref="B39:B40"/>
    <mergeCell ref="D39:D40"/>
    <mergeCell ref="E39:E40"/>
    <mergeCell ref="G39:G40"/>
    <mergeCell ref="C34:C38"/>
    <mergeCell ref="B23:B24"/>
    <mergeCell ref="G23:G24"/>
    <mergeCell ref="B25:B26"/>
    <mergeCell ref="B21:B22"/>
    <mergeCell ref="G21:G22"/>
    <mergeCell ref="B32:B33"/>
    <mergeCell ref="D32:D33"/>
    <mergeCell ref="E32:E33"/>
    <mergeCell ref="F32:F33"/>
    <mergeCell ref="G32:G33"/>
    <mergeCell ref="G25:G26"/>
    <mergeCell ref="C27:C31"/>
    <mergeCell ref="B13:B14"/>
    <mergeCell ref="G13:G14"/>
    <mergeCell ref="B15:B16"/>
    <mergeCell ref="G15:G16"/>
    <mergeCell ref="G17:G18"/>
    <mergeCell ref="B19:B20"/>
    <mergeCell ref="G19:G20"/>
    <mergeCell ref="B17:B18"/>
    <mergeCell ref="B9:B10"/>
    <mergeCell ref="G9:G10"/>
    <mergeCell ref="B11:B12"/>
    <mergeCell ref="G11:G12"/>
    <mergeCell ref="B7:B8"/>
    <mergeCell ref="G7:G8"/>
    <mergeCell ref="U2:U4"/>
    <mergeCell ref="V2:V4"/>
    <mergeCell ref="B5:B6"/>
    <mergeCell ref="G5:G6"/>
    <mergeCell ref="O2:O4"/>
    <mergeCell ref="P2:P4"/>
    <mergeCell ref="Q2:Q4"/>
    <mergeCell ref="R2:R4"/>
    <mergeCell ref="S2:S4"/>
    <mergeCell ref="T2:T4"/>
    <mergeCell ref="I2:I4"/>
    <mergeCell ref="J2:J4"/>
    <mergeCell ref="K2:K4"/>
    <mergeCell ref="L2:L4"/>
    <mergeCell ref="M2:M4"/>
    <mergeCell ref="N2:N4"/>
    <mergeCell ref="B2:B4"/>
    <mergeCell ref="C2:C4"/>
    <mergeCell ref="D2:E3"/>
    <mergeCell ref="F2:F4"/>
    <mergeCell ref="G2:G4"/>
    <mergeCell ref="H2:H4"/>
    <mergeCell ref="F5:F8"/>
    <mergeCell ref="F17:F26"/>
    <mergeCell ref="F27:F31"/>
    <mergeCell ref="F9:F12"/>
    <mergeCell ref="F13:F16"/>
    <mergeCell ref="D27:D31"/>
    <mergeCell ref="E27:E31"/>
    <mergeCell ref="D17:D26"/>
    <mergeCell ref="E17:E26"/>
    <mergeCell ref="D13:D16"/>
    <mergeCell ref="E13:E16"/>
    <mergeCell ref="D9:D12"/>
    <mergeCell ref="E9:E12"/>
    <mergeCell ref="E5:E8"/>
    <mergeCell ref="D5:D8"/>
  </mergeCells>
  <pageMargins left="0.70866141732283472" right="0.70866141732283472" top="0.74803149606299213" bottom="0.74803149606299213" header="0.31496062992125984" footer="0.31496062992125984"/>
  <pageSetup paperSize="9" scale="32" fitToWidth="2" fitToHeight="2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64"/>
  <sheetViews>
    <sheetView zoomScale="40" zoomScaleNormal="40" workbookViewId="0">
      <pane xSplit="5" ySplit="4" topLeftCell="F64" activePane="bottomRight" state="frozen"/>
      <selection pane="topRight" activeCell="F1" sqref="F1"/>
      <selection pane="bottomLeft" activeCell="A5" sqref="A5"/>
      <selection pane="bottomRight" activeCell="V93" sqref="V93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x14ac:dyDescent="0.3">
      <c r="B5" s="62" t="s">
        <v>157</v>
      </c>
      <c r="C5" s="13" t="s">
        <v>17</v>
      </c>
      <c r="D5" s="64">
        <v>169</v>
      </c>
      <c r="E5" s="64">
        <v>26</v>
      </c>
      <c r="F5" s="64" t="s">
        <v>334</v>
      </c>
      <c r="G5" s="64">
        <v>5</v>
      </c>
      <c r="H5" s="15">
        <v>150</v>
      </c>
      <c r="I5" s="15">
        <v>45</v>
      </c>
      <c r="J5" s="3">
        <v>0.5</v>
      </c>
      <c r="K5" s="15">
        <f>J5*30</f>
        <v>15</v>
      </c>
      <c r="L5" s="17">
        <v>2</v>
      </c>
      <c r="M5" s="15">
        <f>J5*L5</f>
        <v>1</v>
      </c>
      <c r="N5" s="15">
        <f>K5*L5</f>
        <v>30</v>
      </c>
      <c r="O5" s="3">
        <v>1</v>
      </c>
      <c r="P5" s="15">
        <f>O5*30</f>
        <v>30</v>
      </c>
      <c r="Q5" s="17">
        <v>6</v>
      </c>
      <c r="R5" s="15">
        <f>O5*Q5</f>
        <v>6</v>
      </c>
      <c r="S5" s="15">
        <f>P5*Q5</f>
        <v>180</v>
      </c>
      <c r="T5" s="4">
        <f>M5+R5</f>
        <v>7</v>
      </c>
      <c r="U5" s="3">
        <f>N5+S5</f>
        <v>210</v>
      </c>
      <c r="V5" s="19"/>
    </row>
    <row r="6" spans="1:22" x14ac:dyDescent="0.3">
      <c r="B6" s="63"/>
      <c r="C6" s="13" t="s">
        <v>18</v>
      </c>
      <c r="D6" s="66"/>
      <c r="E6" s="66"/>
      <c r="F6" s="66"/>
      <c r="G6" s="66"/>
      <c r="H6" s="15">
        <v>150</v>
      </c>
      <c r="I6" s="15">
        <v>45</v>
      </c>
      <c r="J6" s="3">
        <v>0.5</v>
      </c>
      <c r="K6" s="15">
        <f t="shared" ref="K6:K69" si="0">J6*30</f>
        <v>15</v>
      </c>
      <c r="L6" s="17">
        <v>1</v>
      </c>
      <c r="M6" s="15">
        <f t="shared" ref="M6:M69" si="1">J6*L6</f>
        <v>0.5</v>
      </c>
      <c r="N6" s="15">
        <f t="shared" ref="N6:N69" si="2">K6*L6</f>
        <v>15</v>
      </c>
      <c r="O6" s="3">
        <v>1</v>
      </c>
      <c r="P6" s="15">
        <f t="shared" ref="P6:P69" si="3">O6*30</f>
        <v>30</v>
      </c>
      <c r="Q6" s="17">
        <v>1</v>
      </c>
      <c r="R6" s="15">
        <f t="shared" ref="R6:R69" si="4">O6*Q6</f>
        <v>1</v>
      </c>
      <c r="S6" s="15">
        <f t="shared" ref="S6:S69" si="5">P6*Q6</f>
        <v>30</v>
      </c>
      <c r="T6" s="4">
        <f t="shared" ref="T6:T69" si="6">M6+R6</f>
        <v>1.5</v>
      </c>
      <c r="U6" s="3">
        <f t="shared" ref="U6:U69" si="7">N6+S6</f>
        <v>45</v>
      </c>
      <c r="V6" s="19"/>
    </row>
    <row r="7" spans="1:22" ht="31.95" customHeight="1" x14ac:dyDescent="0.3">
      <c r="B7" s="62" t="s">
        <v>157</v>
      </c>
      <c r="C7" s="13" t="s">
        <v>17</v>
      </c>
      <c r="D7" s="64">
        <v>451</v>
      </c>
      <c r="E7" s="64">
        <v>62</v>
      </c>
      <c r="F7" s="64" t="s">
        <v>318</v>
      </c>
      <c r="G7" s="64">
        <v>5</v>
      </c>
      <c r="H7" s="15">
        <v>150</v>
      </c>
      <c r="I7" s="15">
        <v>45</v>
      </c>
      <c r="J7" s="3">
        <v>0.5</v>
      </c>
      <c r="K7" s="15">
        <f t="shared" si="0"/>
        <v>15</v>
      </c>
      <c r="L7" s="17">
        <v>5</v>
      </c>
      <c r="M7" s="15">
        <f t="shared" si="1"/>
        <v>2.5</v>
      </c>
      <c r="N7" s="15">
        <f t="shared" si="2"/>
        <v>75</v>
      </c>
      <c r="O7" s="3">
        <v>1</v>
      </c>
      <c r="P7" s="15">
        <f t="shared" si="3"/>
        <v>30</v>
      </c>
      <c r="Q7" s="17">
        <v>15</v>
      </c>
      <c r="R7" s="15">
        <f t="shared" si="4"/>
        <v>15</v>
      </c>
      <c r="S7" s="15">
        <f t="shared" si="5"/>
        <v>450</v>
      </c>
      <c r="T7" s="4">
        <f t="shared" si="6"/>
        <v>17.5</v>
      </c>
      <c r="U7" s="3">
        <f t="shared" si="7"/>
        <v>525</v>
      </c>
      <c r="V7" s="19"/>
    </row>
    <row r="8" spans="1:22" ht="36" customHeight="1" x14ac:dyDescent="0.3">
      <c r="B8" s="63"/>
      <c r="C8" s="13" t="s">
        <v>18</v>
      </c>
      <c r="D8" s="66"/>
      <c r="E8" s="66"/>
      <c r="F8" s="66"/>
      <c r="G8" s="66"/>
      <c r="H8" s="15">
        <v>150</v>
      </c>
      <c r="I8" s="15">
        <v>45</v>
      </c>
      <c r="J8" s="3">
        <v>0.5</v>
      </c>
      <c r="K8" s="15">
        <f t="shared" si="0"/>
        <v>15</v>
      </c>
      <c r="L8" s="17">
        <v>1</v>
      </c>
      <c r="M8" s="15">
        <f t="shared" si="1"/>
        <v>0.5</v>
      </c>
      <c r="N8" s="15">
        <f t="shared" si="2"/>
        <v>15</v>
      </c>
      <c r="O8" s="3">
        <v>1</v>
      </c>
      <c r="P8" s="15">
        <f t="shared" si="3"/>
        <v>30</v>
      </c>
      <c r="Q8" s="17">
        <v>2</v>
      </c>
      <c r="R8" s="15">
        <f t="shared" si="4"/>
        <v>2</v>
      </c>
      <c r="S8" s="15">
        <f t="shared" si="5"/>
        <v>60</v>
      </c>
      <c r="T8" s="4">
        <f t="shared" si="6"/>
        <v>2.5</v>
      </c>
      <c r="U8" s="3">
        <f t="shared" si="7"/>
        <v>75</v>
      </c>
      <c r="V8" s="19"/>
    </row>
    <row r="9" spans="1:22" x14ac:dyDescent="0.3">
      <c r="B9" s="62" t="s">
        <v>157</v>
      </c>
      <c r="C9" s="13" t="s">
        <v>17</v>
      </c>
      <c r="D9" s="64">
        <v>250</v>
      </c>
      <c r="E9" s="64">
        <v>177</v>
      </c>
      <c r="F9" s="64" t="s">
        <v>367</v>
      </c>
      <c r="G9" s="64">
        <v>5</v>
      </c>
      <c r="H9" s="15">
        <v>150</v>
      </c>
      <c r="I9" s="15">
        <v>45</v>
      </c>
      <c r="J9" s="3">
        <v>0.5</v>
      </c>
      <c r="K9" s="15">
        <f t="shared" si="0"/>
        <v>15</v>
      </c>
      <c r="L9" s="17">
        <v>3</v>
      </c>
      <c r="M9" s="15">
        <f t="shared" si="1"/>
        <v>1.5</v>
      </c>
      <c r="N9" s="15">
        <f t="shared" si="2"/>
        <v>45</v>
      </c>
      <c r="O9" s="3">
        <v>1</v>
      </c>
      <c r="P9" s="15">
        <f t="shared" si="3"/>
        <v>30</v>
      </c>
      <c r="Q9" s="9">
        <v>9</v>
      </c>
      <c r="R9" s="15">
        <f t="shared" si="4"/>
        <v>9</v>
      </c>
      <c r="S9" s="15">
        <f t="shared" si="5"/>
        <v>270</v>
      </c>
      <c r="T9" s="4">
        <f t="shared" si="6"/>
        <v>10.5</v>
      </c>
      <c r="U9" s="3">
        <f t="shared" si="7"/>
        <v>315</v>
      </c>
      <c r="V9" s="19"/>
    </row>
    <row r="10" spans="1:22" x14ac:dyDescent="0.3">
      <c r="B10" s="63"/>
      <c r="C10" s="13" t="s">
        <v>18</v>
      </c>
      <c r="D10" s="66"/>
      <c r="E10" s="66"/>
      <c r="F10" s="66"/>
      <c r="G10" s="66"/>
      <c r="H10" s="15">
        <v>150</v>
      </c>
      <c r="I10" s="15">
        <v>45</v>
      </c>
      <c r="J10" s="3">
        <v>0.5</v>
      </c>
      <c r="K10" s="15">
        <f t="shared" si="0"/>
        <v>15</v>
      </c>
      <c r="L10" s="17">
        <v>2</v>
      </c>
      <c r="M10" s="15">
        <f t="shared" si="1"/>
        <v>1</v>
      </c>
      <c r="N10" s="15">
        <f t="shared" si="2"/>
        <v>30</v>
      </c>
      <c r="O10" s="3">
        <v>1</v>
      </c>
      <c r="P10" s="15">
        <f t="shared" si="3"/>
        <v>30</v>
      </c>
      <c r="Q10" s="9">
        <v>6</v>
      </c>
      <c r="R10" s="15">
        <f t="shared" si="4"/>
        <v>6</v>
      </c>
      <c r="S10" s="15">
        <f t="shared" si="5"/>
        <v>180</v>
      </c>
      <c r="T10" s="4">
        <f t="shared" si="6"/>
        <v>7</v>
      </c>
      <c r="U10" s="3">
        <f t="shared" si="7"/>
        <v>210</v>
      </c>
      <c r="V10" s="19"/>
    </row>
    <row r="11" spans="1:22" x14ac:dyDescent="0.35">
      <c r="A11" s="8"/>
      <c r="B11" s="62" t="s">
        <v>211</v>
      </c>
      <c r="C11" s="13" t="s">
        <v>17</v>
      </c>
      <c r="D11" s="64">
        <v>33</v>
      </c>
      <c r="E11" s="64">
        <v>26</v>
      </c>
      <c r="F11" s="64" t="s">
        <v>20</v>
      </c>
      <c r="G11" s="87">
        <v>5</v>
      </c>
      <c r="H11" s="15">
        <v>150</v>
      </c>
      <c r="I11" s="15">
        <v>45</v>
      </c>
      <c r="J11" s="3">
        <v>0.5</v>
      </c>
      <c r="K11" s="15">
        <f t="shared" si="0"/>
        <v>15</v>
      </c>
      <c r="L11" s="9">
        <v>1</v>
      </c>
      <c r="M11" s="15">
        <f t="shared" si="1"/>
        <v>0.5</v>
      </c>
      <c r="N11" s="15">
        <f t="shared" si="2"/>
        <v>15</v>
      </c>
      <c r="O11" s="3">
        <v>1</v>
      </c>
      <c r="P11" s="15">
        <f t="shared" si="3"/>
        <v>30</v>
      </c>
      <c r="Q11" s="9">
        <v>1</v>
      </c>
      <c r="R11" s="15">
        <f t="shared" si="4"/>
        <v>1</v>
      </c>
      <c r="S11" s="15">
        <f t="shared" si="5"/>
        <v>30</v>
      </c>
      <c r="T11" s="4">
        <f t="shared" si="6"/>
        <v>1.5</v>
      </c>
      <c r="U11" s="3">
        <f t="shared" si="7"/>
        <v>45</v>
      </c>
      <c r="V11" s="10"/>
    </row>
    <row r="12" spans="1:22" x14ac:dyDescent="0.35">
      <c r="A12" s="8"/>
      <c r="B12" s="63"/>
      <c r="C12" s="13" t="s">
        <v>18</v>
      </c>
      <c r="D12" s="65"/>
      <c r="E12" s="65"/>
      <c r="F12" s="65"/>
      <c r="G12" s="88"/>
      <c r="H12" s="15">
        <v>150</v>
      </c>
      <c r="I12" s="15">
        <v>45</v>
      </c>
      <c r="J12" s="3">
        <v>0.5</v>
      </c>
      <c r="K12" s="15">
        <f t="shared" si="0"/>
        <v>15</v>
      </c>
      <c r="L12" s="9">
        <v>1</v>
      </c>
      <c r="M12" s="15">
        <f t="shared" si="1"/>
        <v>0.5</v>
      </c>
      <c r="N12" s="15">
        <f t="shared" si="2"/>
        <v>15</v>
      </c>
      <c r="O12" s="3">
        <v>1</v>
      </c>
      <c r="P12" s="15">
        <f t="shared" si="3"/>
        <v>30</v>
      </c>
      <c r="Q12" s="9">
        <v>1</v>
      </c>
      <c r="R12" s="15">
        <f t="shared" si="4"/>
        <v>1</v>
      </c>
      <c r="S12" s="15">
        <f t="shared" si="5"/>
        <v>30</v>
      </c>
      <c r="T12" s="4">
        <f t="shared" si="6"/>
        <v>1.5</v>
      </c>
      <c r="U12" s="3">
        <f t="shared" si="7"/>
        <v>45</v>
      </c>
      <c r="V12" s="20"/>
    </row>
    <row r="13" spans="1:22" x14ac:dyDescent="0.35">
      <c r="A13" s="8"/>
      <c r="B13" s="62" t="s">
        <v>212</v>
      </c>
      <c r="C13" s="13" t="s">
        <v>17</v>
      </c>
      <c r="D13" s="65"/>
      <c r="E13" s="65"/>
      <c r="F13" s="65"/>
      <c r="G13" s="87">
        <v>3</v>
      </c>
      <c r="H13" s="15">
        <v>90</v>
      </c>
      <c r="I13" s="15">
        <v>30</v>
      </c>
      <c r="J13" s="3">
        <v>0.5</v>
      </c>
      <c r="K13" s="15">
        <f t="shared" si="0"/>
        <v>15</v>
      </c>
      <c r="L13" s="9">
        <v>1</v>
      </c>
      <c r="M13" s="15">
        <f t="shared" si="1"/>
        <v>0.5</v>
      </c>
      <c r="N13" s="15">
        <f t="shared" si="2"/>
        <v>15</v>
      </c>
      <c r="O13" s="3">
        <v>0.5</v>
      </c>
      <c r="P13" s="15">
        <f t="shared" si="3"/>
        <v>15</v>
      </c>
      <c r="Q13" s="9">
        <v>1</v>
      </c>
      <c r="R13" s="15">
        <f t="shared" si="4"/>
        <v>0.5</v>
      </c>
      <c r="S13" s="15">
        <f t="shared" si="5"/>
        <v>15</v>
      </c>
      <c r="T13" s="4">
        <f t="shared" si="6"/>
        <v>1</v>
      </c>
      <c r="U13" s="3">
        <f t="shared" si="7"/>
        <v>30</v>
      </c>
      <c r="V13" s="10"/>
    </row>
    <row r="14" spans="1:22" x14ac:dyDescent="0.35">
      <c r="A14" s="8"/>
      <c r="B14" s="63"/>
      <c r="C14" s="13" t="s">
        <v>18</v>
      </c>
      <c r="D14" s="65"/>
      <c r="E14" s="65"/>
      <c r="F14" s="65"/>
      <c r="G14" s="88"/>
      <c r="H14" s="15">
        <v>90</v>
      </c>
      <c r="I14" s="15">
        <v>30</v>
      </c>
      <c r="J14" s="3">
        <v>0.5</v>
      </c>
      <c r="K14" s="15">
        <f t="shared" si="0"/>
        <v>15</v>
      </c>
      <c r="L14" s="9">
        <v>1</v>
      </c>
      <c r="M14" s="15">
        <f t="shared" si="1"/>
        <v>0.5</v>
      </c>
      <c r="N14" s="15">
        <f t="shared" si="2"/>
        <v>15</v>
      </c>
      <c r="O14" s="3">
        <v>0.5</v>
      </c>
      <c r="P14" s="15">
        <f t="shared" si="3"/>
        <v>15</v>
      </c>
      <c r="Q14" s="9">
        <v>1</v>
      </c>
      <c r="R14" s="15">
        <f t="shared" si="4"/>
        <v>0.5</v>
      </c>
      <c r="S14" s="15">
        <f t="shared" si="5"/>
        <v>15</v>
      </c>
      <c r="T14" s="4">
        <f t="shared" si="6"/>
        <v>1</v>
      </c>
      <c r="U14" s="3">
        <f t="shared" si="7"/>
        <v>30</v>
      </c>
      <c r="V14" s="20"/>
    </row>
    <row r="15" spans="1:22" x14ac:dyDescent="0.3">
      <c r="A15" s="7"/>
      <c r="B15" s="62" t="s">
        <v>213</v>
      </c>
      <c r="C15" s="13" t="s">
        <v>17</v>
      </c>
      <c r="D15" s="65"/>
      <c r="E15" s="65"/>
      <c r="F15" s="65"/>
      <c r="G15" s="64">
        <v>4</v>
      </c>
      <c r="H15" s="15">
        <v>120</v>
      </c>
      <c r="I15" s="15">
        <v>45</v>
      </c>
      <c r="J15" s="3">
        <v>0.5</v>
      </c>
      <c r="K15" s="15">
        <f t="shared" si="0"/>
        <v>15</v>
      </c>
      <c r="L15" s="9">
        <v>1</v>
      </c>
      <c r="M15" s="15">
        <f t="shared" si="1"/>
        <v>0.5</v>
      </c>
      <c r="N15" s="15">
        <f t="shared" si="2"/>
        <v>15</v>
      </c>
      <c r="O15" s="3">
        <v>1</v>
      </c>
      <c r="P15" s="15">
        <f t="shared" si="3"/>
        <v>30</v>
      </c>
      <c r="Q15" s="9">
        <v>1</v>
      </c>
      <c r="R15" s="15">
        <f t="shared" si="4"/>
        <v>1</v>
      </c>
      <c r="S15" s="15">
        <f t="shared" si="5"/>
        <v>30</v>
      </c>
      <c r="T15" s="4">
        <f t="shared" si="6"/>
        <v>1.5</v>
      </c>
      <c r="U15" s="3">
        <f t="shared" si="7"/>
        <v>45</v>
      </c>
      <c r="V15" s="19"/>
    </row>
    <row r="16" spans="1:22" x14ac:dyDescent="0.3">
      <c r="A16" s="7"/>
      <c r="B16" s="63"/>
      <c r="C16" s="13" t="s">
        <v>18</v>
      </c>
      <c r="D16" s="65"/>
      <c r="E16" s="65"/>
      <c r="F16" s="65"/>
      <c r="G16" s="66"/>
      <c r="H16" s="15">
        <v>120</v>
      </c>
      <c r="I16" s="15">
        <v>45</v>
      </c>
      <c r="J16" s="3">
        <v>0.5</v>
      </c>
      <c r="K16" s="15">
        <f t="shared" si="0"/>
        <v>15</v>
      </c>
      <c r="L16" s="9">
        <v>1</v>
      </c>
      <c r="M16" s="15">
        <f t="shared" si="1"/>
        <v>0.5</v>
      </c>
      <c r="N16" s="15">
        <f t="shared" si="2"/>
        <v>15</v>
      </c>
      <c r="O16" s="3">
        <v>1</v>
      </c>
      <c r="P16" s="15">
        <f t="shared" si="3"/>
        <v>30</v>
      </c>
      <c r="Q16" s="9">
        <v>1</v>
      </c>
      <c r="R16" s="15">
        <f t="shared" si="4"/>
        <v>1</v>
      </c>
      <c r="S16" s="15">
        <f t="shared" si="5"/>
        <v>30</v>
      </c>
      <c r="T16" s="4">
        <f t="shared" si="6"/>
        <v>1.5</v>
      </c>
      <c r="U16" s="3">
        <f t="shared" si="7"/>
        <v>45</v>
      </c>
      <c r="V16" s="19"/>
    </row>
    <row r="17" spans="1:22" x14ac:dyDescent="0.3">
      <c r="A17" s="7"/>
      <c r="B17" s="62" t="s">
        <v>214</v>
      </c>
      <c r="C17" s="13" t="s">
        <v>17</v>
      </c>
      <c r="D17" s="65"/>
      <c r="E17" s="65"/>
      <c r="F17" s="65"/>
      <c r="G17" s="64">
        <v>5</v>
      </c>
      <c r="H17" s="15">
        <v>150</v>
      </c>
      <c r="I17" s="15">
        <v>45</v>
      </c>
      <c r="J17" s="3">
        <v>0.5</v>
      </c>
      <c r="K17" s="15">
        <f t="shared" si="0"/>
        <v>15</v>
      </c>
      <c r="L17" s="9">
        <v>1</v>
      </c>
      <c r="M17" s="15">
        <f t="shared" si="1"/>
        <v>0.5</v>
      </c>
      <c r="N17" s="15">
        <f t="shared" si="2"/>
        <v>15</v>
      </c>
      <c r="O17" s="3">
        <v>1</v>
      </c>
      <c r="P17" s="15">
        <f t="shared" si="3"/>
        <v>30</v>
      </c>
      <c r="Q17" s="9">
        <v>1</v>
      </c>
      <c r="R17" s="15">
        <f t="shared" si="4"/>
        <v>1</v>
      </c>
      <c r="S17" s="15">
        <f t="shared" si="5"/>
        <v>30</v>
      </c>
      <c r="T17" s="4">
        <f t="shared" si="6"/>
        <v>1.5</v>
      </c>
      <c r="U17" s="3">
        <f t="shared" si="7"/>
        <v>45</v>
      </c>
      <c r="V17" s="19"/>
    </row>
    <row r="18" spans="1:22" x14ac:dyDescent="0.3">
      <c r="A18" s="7"/>
      <c r="B18" s="63"/>
      <c r="C18" s="13" t="s">
        <v>18</v>
      </c>
      <c r="D18" s="65"/>
      <c r="E18" s="65"/>
      <c r="F18" s="65"/>
      <c r="G18" s="66"/>
      <c r="H18" s="15">
        <v>150</v>
      </c>
      <c r="I18" s="15">
        <v>45</v>
      </c>
      <c r="J18" s="3">
        <v>0.5</v>
      </c>
      <c r="K18" s="15">
        <f t="shared" si="0"/>
        <v>15</v>
      </c>
      <c r="L18" s="9">
        <v>1</v>
      </c>
      <c r="M18" s="15">
        <f t="shared" si="1"/>
        <v>0.5</v>
      </c>
      <c r="N18" s="15">
        <f t="shared" si="2"/>
        <v>15</v>
      </c>
      <c r="O18" s="3">
        <v>1</v>
      </c>
      <c r="P18" s="15">
        <f t="shared" si="3"/>
        <v>30</v>
      </c>
      <c r="Q18" s="9">
        <v>1</v>
      </c>
      <c r="R18" s="15">
        <f t="shared" si="4"/>
        <v>1</v>
      </c>
      <c r="S18" s="15">
        <f t="shared" si="5"/>
        <v>30</v>
      </c>
      <c r="T18" s="4">
        <f t="shared" si="6"/>
        <v>1.5</v>
      </c>
      <c r="U18" s="3">
        <f t="shared" si="7"/>
        <v>45</v>
      </c>
      <c r="V18" s="19"/>
    </row>
    <row r="19" spans="1:22" x14ac:dyDescent="0.3">
      <c r="A19" s="7"/>
      <c r="B19" s="62" t="s">
        <v>215</v>
      </c>
      <c r="C19" s="13" t="s">
        <v>17</v>
      </c>
      <c r="D19" s="65"/>
      <c r="E19" s="65"/>
      <c r="F19" s="65"/>
      <c r="G19" s="64">
        <v>3</v>
      </c>
      <c r="H19" s="15">
        <v>90</v>
      </c>
      <c r="I19" s="15">
        <v>30</v>
      </c>
      <c r="J19" s="3">
        <v>0.5</v>
      </c>
      <c r="K19" s="15">
        <f t="shared" si="0"/>
        <v>15</v>
      </c>
      <c r="L19" s="9">
        <v>1</v>
      </c>
      <c r="M19" s="15">
        <f t="shared" si="1"/>
        <v>0.5</v>
      </c>
      <c r="N19" s="15">
        <f t="shared" si="2"/>
        <v>15</v>
      </c>
      <c r="O19" s="3">
        <v>0.5</v>
      </c>
      <c r="P19" s="15">
        <f t="shared" si="3"/>
        <v>15</v>
      </c>
      <c r="Q19" s="9">
        <v>1</v>
      </c>
      <c r="R19" s="15">
        <f t="shared" si="4"/>
        <v>0.5</v>
      </c>
      <c r="S19" s="15">
        <f t="shared" si="5"/>
        <v>15</v>
      </c>
      <c r="T19" s="4">
        <f t="shared" si="6"/>
        <v>1</v>
      </c>
      <c r="U19" s="3">
        <f t="shared" si="7"/>
        <v>30</v>
      </c>
      <c r="V19" s="19"/>
    </row>
    <row r="20" spans="1:22" x14ac:dyDescent="0.3">
      <c r="A20" s="7"/>
      <c r="B20" s="63"/>
      <c r="C20" s="13" t="s">
        <v>18</v>
      </c>
      <c r="D20" s="66"/>
      <c r="E20" s="66"/>
      <c r="F20" s="66"/>
      <c r="G20" s="66"/>
      <c r="H20" s="15">
        <v>90</v>
      </c>
      <c r="I20" s="15">
        <v>30</v>
      </c>
      <c r="J20" s="3">
        <v>0.5</v>
      </c>
      <c r="K20" s="15">
        <f t="shared" si="0"/>
        <v>15</v>
      </c>
      <c r="L20" s="9">
        <v>1</v>
      </c>
      <c r="M20" s="15">
        <f t="shared" si="1"/>
        <v>0.5</v>
      </c>
      <c r="N20" s="15">
        <f t="shared" si="2"/>
        <v>15</v>
      </c>
      <c r="O20" s="3">
        <v>0.5</v>
      </c>
      <c r="P20" s="15">
        <f t="shared" si="3"/>
        <v>15</v>
      </c>
      <c r="Q20" s="9">
        <v>1</v>
      </c>
      <c r="R20" s="15">
        <f t="shared" si="4"/>
        <v>0.5</v>
      </c>
      <c r="S20" s="15">
        <f t="shared" si="5"/>
        <v>15</v>
      </c>
      <c r="T20" s="4">
        <f t="shared" si="6"/>
        <v>1</v>
      </c>
      <c r="U20" s="3">
        <f t="shared" si="7"/>
        <v>30</v>
      </c>
      <c r="V20" s="19"/>
    </row>
    <row r="21" spans="1:22" ht="36" x14ac:dyDescent="0.3">
      <c r="A21" s="7"/>
      <c r="B21" s="14" t="s">
        <v>219</v>
      </c>
      <c r="C21" s="64" t="s">
        <v>17</v>
      </c>
      <c r="D21" s="64">
        <v>19</v>
      </c>
      <c r="E21" s="64"/>
      <c r="F21" s="64" t="s">
        <v>156</v>
      </c>
      <c r="G21" s="12">
        <v>5</v>
      </c>
      <c r="H21" s="15">
        <v>150</v>
      </c>
      <c r="I21" s="15">
        <v>45</v>
      </c>
      <c r="J21" s="3">
        <v>0.5</v>
      </c>
      <c r="K21" s="15">
        <f t="shared" si="0"/>
        <v>15</v>
      </c>
      <c r="L21" s="9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9">
        <v>1</v>
      </c>
      <c r="R21" s="15">
        <f t="shared" si="4"/>
        <v>1</v>
      </c>
      <c r="S21" s="15">
        <f t="shared" si="5"/>
        <v>30</v>
      </c>
      <c r="T21" s="4">
        <f t="shared" si="6"/>
        <v>1.5</v>
      </c>
      <c r="U21" s="3">
        <f t="shared" si="7"/>
        <v>45</v>
      </c>
      <c r="V21" s="19"/>
    </row>
    <row r="22" spans="1:22" ht="36" x14ac:dyDescent="0.3">
      <c r="A22" s="7"/>
      <c r="B22" s="14" t="s">
        <v>220</v>
      </c>
      <c r="C22" s="65"/>
      <c r="D22" s="65"/>
      <c r="E22" s="65"/>
      <c r="F22" s="65"/>
      <c r="G22" s="12">
        <v>4</v>
      </c>
      <c r="H22" s="15">
        <v>120</v>
      </c>
      <c r="I22" s="15">
        <v>45</v>
      </c>
      <c r="J22" s="3">
        <v>0.5</v>
      </c>
      <c r="K22" s="15">
        <f t="shared" si="0"/>
        <v>15</v>
      </c>
      <c r="L22" s="9">
        <v>1</v>
      </c>
      <c r="M22" s="15">
        <f t="shared" si="1"/>
        <v>0.5</v>
      </c>
      <c r="N22" s="15">
        <f t="shared" si="2"/>
        <v>15</v>
      </c>
      <c r="O22" s="3">
        <v>1</v>
      </c>
      <c r="P22" s="15">
        <f t="shared" si="3"/>
        <v>30</v>
      </c>
      <c r="Q22" s="9">
        <v>1</v>
      </c>
      <c r="R22" s="15">
        <f t="shared" si="4"/>
        <v>1</v>
      </c>
      <c r="S22" s="15">
        <f t="shared" si="5"/>
        <v>30</v>
      </c>
      <c r="T22" s="4">
        <f t="shared" si="6"/>
        <v>1.5</v>
      </c>
      <c r="U22" s="3">
        <f t="shared" si="7"/>
        <v>45</v>
      </c>
      <c r="V22" s="19"/>
    </row>
    <row r="23" spans="1:22" ht="36" x14ac:dyDescent="0.3">
      <c r="A23" s="7"/>
      <c r="B23" s="37" t="s">
        <v>160</v>
      </c>
      <c r="C23" s="65"/>
      <c r="D23" s="65"/>
      <c r="E23" s="65"/>
      <c r="F23" s="65"/>
      <c r="G23" s="12">
        <v>3</v>
      </c>
      <c r="H23" s="15">
        <v>90</v>
      </c>
      <c r="I23" s="15">
        <v>30</v>
      </c>
      <c r="J23" s="3">
        <v>0.5</v>
      </c>
      <c r="K23" s="15">
        <f t="shared" si="0"/>
        <v>15</v>
      </c>
      <c r="L23" s="9">
        <v>1</v>
      </c>
      <c r="M23" s="15">
        <f t="shared" si="1"/>
        <v>0.5</v>
      </c>
      <c r="N23" s="15">
        <f t="shared" si="2"/>
        <v>15</v>
      </c>
      <c r="O23" s="3">
        <v>0.5</v>
      </c>
      <c r="P23" s="15">
        <f t="shared" si="3"/>
        <v>15</v>
      </c>
      <c r="Q23" s="9">
        <v>1</v>
      </c>
      <c r="R23" s="15">
        <f t="shared" si="4"/>
        <v>0.5</v>
      </c>
      <c r="S23" s="15">
        <f t="shared" si="5"/>
        <v>15</v>
      </c>
      <c r="T23" s="4">
        <f t="shared" si="6"/>
        <v>1</v>
      </c>
      <c r="U23" s="3">
        <f t="shared" si="7"/>
        <v>30</v>
      </c>
      <c r="V23" s="29" t="s">
        <v>575</v>
      </c>
    </row>
    <row r="24" spans="1:22" ht="72" x14ac:dyDescent="0.3">
      <c r="A24" s="7"/>
      <c r="B24" s="37" t="s">
        <v>161</v>
      </c>
      <c r="C24" s="65"/>
      <c r="D24" s="65"/>
      <c r="E24" s="65"/>
      <c r="F24" s="65"/>
      <c r="G24" s="12">
        <v>5</v>
      </c>
      <c r="H24" s="15">
        <v>150</v>
      </c>
      <c r="I24" s="15">
        <v>45</v>
      </c>
      <c r="J24" s="3">
        <v>0.5</v>
      </c>
      <c r="K24" s="15">
        <f t="shared" si="0"/>
        <v>15</v>
      </c>
      <c r="L24" s="9">
        <v>1</v>
      </c>
      <c r="M24" s="15">
        <f t="shared" si="1"/>
        <v>0.5</v>
      </c>
      <c r="N24" s="15">
        <f t="shared" si="2"/>
        <v>15</v>
      </c>
      <c r="O24" s="3">
        <v>1</v>
      </c>
      <c r="P24" s="15">
        <f t="shared" si="3"/>
        <v>30</v>
      </c>
      <c r="Q24" s="9">
        <v>1</v>
      </c>
      <c r="R24" s="15">
        <f t="shared" si="4"/>
        <v>1</v>
      </c>
      <c r="S24" s="15">
        <f t="shared" si="5"/>
        <v>30</v>
      </c>
      <c r="T24" s="4">
        <f t="shared" si="6"/>
        <v>1.5</v>
      </c>
      <c r="U24" s="3">
        <f t="shared" si="7"/>
        <v>45</v>
      </c>
      <c r="V24" s="29" t="s">
        <v>575</v>
      </c>
    </row>
    <row r="25" spans="1:22" ht="54" x14ac:dyDescent="0.3">
      <c r="A25" s="7"/>
      <c r="B25" s="37" t="s">
        <v>162</v>
      </c>
      <c r="C25" s="66"/>
      <c r="D25" s="65"/>
      <c r="E25" s="65"/>
      <c r="F25" s="65"/>
      <c r="G25" s="12">
        <v>3</v>
      </c>
      <c r="H25" s="15">
        <v>90</v>
      </c>
      <c r="I25" s="15">
        <v>30</v>
      </c>
      <c r="J25" s="3">
        <v>0.5</v>
      </c>
      <c r="K25" s="15">
        <f t="shared" si="0"/>
        <v>15</v>
      </c>
      <c r="L25" s="9">
        <v>1</v>
      </c>
      <c r="M25" s="15">
        <f t="shared" si="1"/>
        <v>0.5</v>
      </c>
      <c r="N25" s="15">
        <f t="shared" si="2"/>
        <v>15</v>
      </c>
      <c r="O25" s="3">
        <v>0.5</v>
      </c>
      <c r="P25" s="15">
        <f t="shared" si="3"/>
        <v>15</v>
      </c>
      <c r="Q25" s="9">
        <v>1</v>
      </c>
      <c r="R25" s="15">
        <f t="shared" si="4"/>
        <v>0.5</v>
      </c>
      <c r="S25" s="15">
        <f t="shared" si="5"/>
        <v>15</v>
      </c>
      <c r="T25" s="4">
        <f t="shared" si="6"/>
        <v>1</v>
      </c>
      <c r="U25" s="3">
        <f t="shared" si="7"/>
        <v>30</v>
      </c>
      <c r="V25" s="29" t="s">
        <v>575</v>
      </c>
    </row>
    <row r="26" spans="1:22" ht="36" x14ac:dyDescent="0.3">
      <c r="B26" s="14" t="s">
        <v>227</v>
      </c>
      <c r="C26" s="64" t="s">
        <v>17</v>
      </c>
      <c r="D26" s="64">
        <v>14</v>
      </c>
      <c r="E26" s="64"/>
      <c r="F26" s="64" t="s">
        <v>226</v>
      </c>
      <c r="G26" s="12">
        <v>5</v>
      </c>
      <c r="H26" s="15">
        <v>150</v>
      </c>
      <c r="I26" s="15">
        <v>45</v>
      </c>
      <c r="J26" s="3">
        <v>0.5</v>
      </c>
      <c r="K26" s="15">
        <f t="shared" si="0"/>
        <v>15</v>
      </c>
      <c r="L26" s="9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9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9"/>
    </row>
    <row r="27" spans="1:22" ht="90" x14ac:dyDescent="0.3">
      <c r="B27" s="14" t="s">
        <v>228</v>
      </c>
      <c r="C27" s="65"/>
      <c r="D27" s="65"/>
      <c r="E27" s="65"/>
      <c r="F27" s="65"/>
      <c r="G27" s="12">
        <v>6</v>
      </c>
      <c r="H27" s="15">
        <v>180</v>
      </c>
      <c r="I27" s="15">
        <v>60</v>
      </c>
      <c r="J27" s="3">
        <v>1</v>
      </c>
      <c r="K27" s="15">
        <f t="shared" si="0"/>
        <v>30</v>
      </c>
      <c r="L27" s="9">
        <v>1</v>
      </c>
      <c r="M27" s="15">
        <f t="shared" si="1"/>
        <v>1</v>
      </c>
      <c r="N27" s="15">
        <f t="shared" si="2"/>
        <v>30</v>
      </c>
      <c r="O27" s="3">
        <v>1</v>
      </c>
      <c r="P27" s="15">
        <f t="shared" si="3"/>
        <v>30</v>
      </c>
      <c r="Q27" s="9">
        <v>1</v>
      </c>
      <c r="R27" s="15">
        <f t="shared" si="4"/>
        <v>1</v>
      </c>
      <c r="S27" s="15">
        <f t="shared" si="5"/>
        <v>30</v>
      </c>
      <c r="T27" s="4">
        <f t="shared" si="6"/>
        <v>2</v>
      </c>
      <c r="U27" s="3">
        <f t="shared" si="7"/>
        <v>60</v>
      </c>
      <c r="V27" s="19"/>
    </row>
    <row r="28" spans="1:22" ht="72" x14ac:dyDescent="0.3">
      <c r="B28" s="14" t="s">
        <v>229</v>
      </c>
      <c r="C28" s="65"/>
      <c r="D28" s="65"/>
      <c r="E28" s="65"/>
      <c r="F28" s="65"/>
      <c r="G28" s="12">
        <v>5</v>
      </c>
      <c r="H28" s="15">
        <v>150</v>
      </c>
      <c r="I28" s="15">
        <v>45</v>
      </c>
      <c r="J28" s="3">
        <v>0.5</v>
      </c>
      <c r="K28" s="15">
        <f t="shared" si="0"/>
        <v>15</v>
      </c>
      <c r="L28" s="9">
        <v>1</v>
      </c>
      <c r="M28" s="15">
        <f t="shared" si="1"/>
        <v>0.5</v>
      </c>
      <c r="N28" s="15">
        <f t="shared" si="2"/>
        <v>15</v>
      </c>
      <c r="O28" s="3">
        <v>1</v>
      </c>
      <c r="P28" s="15">
        <f t="shared" si="3"/>
        <v>30</v>
      </c>
      <c r="Q28" s="9">
        <v>1</v>
      </c>
      <c r="R28" s="15">
        <f t="shared" si="4"/>
        <v>1</v>
      </c>
      <c r="S28" s="15">
        <f t="shared" si="5"/>
        <v>30</v>
      </c>
      <c r="T28" s="4">
        <f t="shared" si="6"/>
        <v>1.5</v>
      </c>
      <c r="U28" s="3">
        <f t="shared" si="7"/>
        <v>45</v>
      </c>
      <c r="V28" s="19"/>
    </row>
    <row r="29" spans="1:22" ht="72" x14ac:dyDescent="0.3">
      <c r="B29" s="14" t="s">
        <v>230</v>
      </c>
      <c r="C29" s="65"/>
      <c r="D29" s="65"/>
      <c r="E29" s="65"/>
      <c r="F29" s="65"/>
      <c r="G29" s="12">
        <v>5</v>
      </c>
      <c r="H29" s="15">
        <v>150</v>
      </c>
      <c r="I29" s="15">
        <v>45</v>
      </c>
      <c r="J29" s="3">
        <v>0.5</v>
      </c>
      <c r="K29" s="15">
        <f t="shared" si="0"/>
        <v>15</v>
      </c>
      <c r="L29" s="9">
        <v>1</v>
      </c>
      <c r="M29" s="15">
        <f t="shared" si="1"/>
        <v>0.5</v>
      </c>
      <c r="N29" s="15">
        <f t="shared" si="2"/>
        <v>15</v>
      </c>
      <c r="O29" s="3">
        <v>1</v>
      </c>
      <c r="P29" s="15">
        <f t="shared" si="3"/>
        <v>30</v>
      </c>
      <c r="Q29" s="9">
        <v>1</v>
      </c>
      <c r="R29" s="15">
        <f t="shared" si="4"/>
        <v>1</v>
      </c>
      <c r="S29" s="15">
        <f t="shared" si="5"/>
        <v>30</v>
      </c>
      <c r="T29" s="4">
        <f t="shared" si="6"/>
        <v>1.5</v>
      </c>
      <c r="U29" s="3">
        <f t="shared" si="7"/>
        <v>45</v>
      </c>
      <c r="V29" s="19"/>
    </row>
    <row r="30" spans="1:22" ht="54" x14ac:dyDescent="0.35">
      <c r="A30" s="8"/>
      <c r="B30" s="14" t="s">
        <v>231</v>
      </c>
      <c r="C30" s="66"/>
      <c r="D30" s="65"/>
      <c r="E30" s="65"/>
      <c r="F30" s="65"/>
      <c r="G30" s="16">
        <v>5</v>
      </c>
      <c r="H30" s="15">
        <v>150</v>
      </c>
      <c r="I30" s="15">
        <v>45</v>
      </c>
      <c r="J30" s="3">
        <v>0.5</v>
      </c>
      <c r="K30" s="15">
        <f t="shared" si="0"/>
        <v>15</v>
      </c>
      <c r="L30" s="9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9">
        <v>1</v>
      </c>
      <c r="R30" s="15">
        <f t="shared" si="4"/>
        <v>1</v>
      </c>
      <c r="S30" s="15">
        <f t="shared" si="5"/>
        <v>30</v>
      </c>
      <c r="T30" s="4">
        <f t="shared" si="6"/>
        <v>1.5</v>
      </c>
      <c r="U30" s="3">
        <f t="shared" si="7"/>
        <v>45</v>
      </c>
      <c r="V30" s="10"/>
    </row>
    <row r="31" spans="1:22" x14ac:dyDescent="0.35">
      <c r="A31" s="8"/>
      <c r="B31" s="62" t="s">
        <v>237</v>
      </c>
      <c r="C31" s="13" t="s">
        <v>17</v>
      </c>
      <c r="D31" s="64">
        <v>19</v>
      </c>
      <c r="E31" s="64">
        <v>16</v>
      </c>
      <c r="F31" s="64" t="s">
        <v>236</v>
      </c>
      <c r="G31" s="87">
        <v>6</v>
      </c>
      <c r="H31" s="15">
        <v>180</v>
      </c>
      <c r="I31" s="15">
        <v>60</v>
      </c>
      <c r="J31" s="3">
        <v>1</v>
      </c>
      <c r="K31" s="15">
        <f t="shared" si="0"/>
        <v>30</v>
      </c>
      <c r="L31" s="9">
        <v>1</v>
      </c>
      <c r="M31" s="15">
        <f t="shared" si="1"/>
        <v>1</v>
      </c>
      <c r="N31" s="15">
        <f t="shared" si="2"/>
        <v>30</v>
      </c>
      <c r="O31" s="3">
        <v>1</v>
      </c>
      <c r="P31" s="15">
        <f t="shared" si="3"/>
        <v>30</v>
      </c>
      <c r="Q31" s="9">
        <v>1</v>
      </c>
      <c r="R31" s="15">
        <f t="shared" si="4"/>
        <v>1</v>
      </c>
      <c r="S31" s="15">
        <f t="shared" si="5"/>
        <v>30</v>
      </c>
      <c r="T31" s="4">
        <f t="shared" si="6"/>
        <v>2</v>
      </c>
      <c r="U31" s="3">
        <f t="shared" si="7"/>
        <v>60</v>
      </c>
      <c r="V31" s="10"/>
    </row>
    <row r="32" spans="1:22" x14ac:dyDescent="0.35">
      <c r="A32" s="8"/>
      <c r="B32" s="63"/>
      <c r="C32" s="13" t="s">
        <v>18</v>
      </c>
      <c r="D32" s="65"/>
      <c r="E32" s="65"/>
      <c r="F32" s="65"/>
      <c r="G32" s="88"/>
      <c r="H32" s="15">
        <v>180</v>
      </c>
      <c r="I32" s="15">
        <v>60</v>
      </c>
      <c r="J32" s="3">
        <v>1</v>
      </c>
      <c r="K32" s="15">
        <f t="shared" si="0"/>
        <v>30</v>
      </c>
      <c r="L32" s="9">
        <v>1</v>
      </c>
      <c r="M32" s="15">
        <f t="shared" si="1"/>
        <v>1</v>
      </c>
      <c r="N32" s="15">
        <f t="shared" si="2"/>
        <v>30</v>
      </c>
      <c r="O32" s="3">
        <v>1</v>
      </c>
      <c r="P32" s="15">
        <f t="shared" si="3"/>
        <v>30</v>
      </c>
      <c r="Q32" s="9">
        <v>1</v>
      </c>
      <c r="R32" s="15">
        <f t="shared" si="4"/>
        <v>1</v>
      </c>
      <c r="S32" s="15">
        <f t="shared" si="5"/>
        <v>30</v>
      </c>
      <c r="T32" s="4">
        <f t="shared" si="6"/>
        <v>2</v>
      </c>
      <c r="U32" s="3">
        <f t="shared" si="7"/>
        <v>60</v>
      </c>
      <c r="V32" s="20"/>
    </row>
    <row r="33" spans="1:22" ht="26.55" customHeight="1" x14ac:dyDescent="0.3">
      <c r="A33" s="7"/>
      <c r="B33" s="62" t="s">
        <v>238</v>
      </c>
      <c r="C33" s="13" t="s">
        <v>17</v>
      </c>
      <c r="D33" s="65"/>
      <c r="E33" s="65"/>
      <c r="F33" s="65"/>
      <c r="G33" s="64">
        <v>5</v>
      </c>
      <c r="H33" s="15">
        <v>150</v>
      </c>
      <c r="I33" s="15">
        <v>45</v>
      </c>
      <c r="J33" s="3">
        <v>0.5</v>
      </c>
      <c r="K33" s="15">
        <f t="shared" si="0"/>
        <v>15</v>
      </c>
      <c r="L33" s="9">
        <v>1</v>
      </c>
      <c r="M33" s="15">
        <f t="shared" si="1"/>
        <v>0.5</v>
      </c>
      <c r="N33" s="15">
        <f t="shared" si="2"/>
        <v>15</v>
      </c>
      <c r="O33" s="3">
        <v>1</v>
      </c>
      <c r="P33" s="15">
        <f t="shared" si="3"/>
        <v>30</v>
      </c>
      <c r="Q33" s="9">
        <v>1</v>
      </c>
      <c r="R33" s="15">
        <f t="shared" si="4"/>
        <v>1</v>
      </c>
      <c r="S33" s="15">
        <f t="shared" si="5"/>
        <v>30</v>
      </c>
      <c r="T33" s="4">
        <f t="shared" si="6"/>
        <v>1.5</v>
      </c>
      <c r="U33" s="3">
        <f t="shared" si="7"/>
        <v>45</v>
      </c>
      <c r="V33" s="19"/>
    </row>
    <row r="34" spans="1:22" ht="27.6" customHeight="1" x14ac:dyDescent="0.3">
      <c r="A34" s="7"/>
      <c r="B34" s="63"/>
      <c r="C34" s="13" t="s">
        <v>18</v>
      </c>
      <c r="D34" s="65"/>
      <c r="E34" s="65"/>
      <c r="F34" s="65"/>
      <c r="G34" s="66"/>
      <c r="H34" s="15">
        <v>150</v>
      </c>
      <c r="I34" s="15">
        <v>45</v>
      </c>
      <c r="J34" s="3">
        <v>0.5</v>
      </c>
      <c r="K34" s="15">
        <f t="shared" si="0"/>
        <v>15</v>
      </c>
      <c r="L34" s="9">
        <v>1</v>
      </c>
      <c r="M34" s="15">
        <f t="shared" si="1"/>
        <v>0.5</v>
      </c>
      <c r="N34" s="15">
        <f t="shared" si="2"/>
        <v>15</v>
      </c>
      <c r="O34" s="3">
        <v>1</v>
      </c>
      <c r="P34" s="15">
        <f t="shared" si="3"/>
        <v>30</v>
      </c>
      <c r="Q34" s="9">
        <v>1</v>
      </c>
      <c r="R34" s="15">
        <f t="shared" si="4"/>
        <v>1</v>
      </c>
      <c r="S34" s="15">
        <f t="shared" si="5"/>
        <v>30</v>
      </c>
      <c r="T34" s="4">
        <f t="shared" si="6"/>
        <v>1.5</v>
      </c>
      <c r="U34" s="3">
        <f t="shared" si="7"/>
        <v>45</v>
      </c>
      <c r="V34" s="19"/>
    </row>
    <row r="35" spans="1:22" ht="36" customHeight="1" x14ac:dyDescent="0.3">
      <c r="A35" s="7"/>
      <c r="B35" s="62" t="s">
        <v>239</v>
      </c>
      <c r="C35" s="13" t="s">
        <v>17</v>
      </c>
      <c r="D35" s="65"/>
      <c r="E35" s="65"/>
      <c r="F35" s="65"/>
      <c r="G35" s="64">
        <v>5</v>
      </c>
      <c r="H35" s="15">
        <v>150</v>
      </c>
      <c r="I35" s="15">
        <v>45</v>
      </c>
      <c r="J35" s="3">
        <v>0.5</v>
      </c>
      <c r="K35" s="15">
        <f t="shared" si="0"/>
        <v>15</v>
      </c>
      <c r="L35" s="9">
        <v>1</v>
      </c>
      <c r="M35" s="15">
        <f t="shared" si="1"/>
        <v>0.5</v>
      </c>
      <c r="N35" s="15">
        <f t="shared" si="2"/>
        <v>15</v>
      </c>
      <c r="O35" s="3">
        <v>1</v>
      </c>
      <c r="P35" s="15">
        <f t="shared" si="3"/>
        <v>30</v>
      </c>
      <c r="Q35" s="9">
        <v>1</v>
      </c>
      <c r="R35" s="15">
        <f t="shared" si="4"/>
        <v>1</v>
      </c>
      <c r="S35" s="15">
        <f t="shared" si="5"/>
        <v>30</v>
      </c>
      <c r="T35" s="4">
        <f t="shared" si="6"/>
        <v>1.5</v>
      </c>
      <c r="U35" s="3">
        <f t="shared" si="7"/>
        <v>45</v>
      </c>
      <c r="V35" s="19"/>
    </row>
    <row r="36" spans="1:22" ht="32.549999999999997" customHeight="1" x14ac:dyDescent="0.3">
      <c r="A36" s="7"/>
      <c r="B36" s="63"/>
      <c r="C36" s="13" t="s">
        <v>18</v>
      </c>
      <c r="D36" s="65"/>
      <c r="E36" s="65"/>
      <c r="F36" s="65"/>
      <c r="G36" s="66"/>
      <c r="H36" s="15">
        <v>150</v>
      </c>
      <c r="I36" s="15">
        <v>45</v>
      </c>
      <c r="J36" s="3">
        <v>0.5</v>
      </c>
      <c r="K36" s="15">
        <f t="shared" si="0"/>
        <v>15</v>
      </c>
      <c r="L36" s="9">
        <v>1</v>
      </c>
      <c r="M36" s="15">
        <f t="shared" si="1"/>
        <v>0.5</v>
      </c>
      <c r="N36" s="15">
        <f t="shared" si="2"/>
        <v>15</v>
      </c>
      <c r="O36" s="3">
        <v>1</v>
      </c>
      <c r="P36" s="15">
        <f t="shared" si="3"/>
        <v>30</v>
      </c>
      <c r="Q36" s="9">
        <v>1</v>
      </c>
      <c r="R36" s="15">
        <f t="shared" si="4"/>
        <v>1</v>
      </c>
      <c r="S36" s="15">
        <f t="shared" si="5"/>
        <v>30</v>
      </c>
      <c r="T36" s="4">
        <f t="shared" si="6"/>
        <v>1.5</v>
      </c>
      <c r="U36" s="3">
        <f t="shared" si="7"/>
        <v>45</v>
      </c>
      <c r="V36" s="19"/>
    </row>
    <row r="37" spans="1:22" x14ac:dyDescent="0.3">
      <c r="A37" s="7"/>
      <c r="B37" s="62" t="s">
        <v>240</v>
      </c>
      <c r="C37" s="13" t="s">
        <v>17</v>
      </c>
      <c r="D37" s="65"/>
      <c r="E37" s="65"/>
      <c r="F37" s="65"/>
      <c r="G37" s="64">
        <v>5</v>
      </c>
      <c r="H37" s="15">
        <v>150</v>
      </c>
      <c r="I37" s="15">
        <v>45</v>
      </c>
      <c r="J37" s="3">
        <v>0.5</v>
      </c>
      <c r="K37" s="15">
        <f t="shared" si="0"/>
        <v>15</v>
      </c>
      <c r="L37" s="9">
        <v>1</v>
      </c>
      <c r="M37" s="15">
        <f t="shared" si="1"/>
        <v>0.5</v>
      </c>
      <c r="N37" s="15">
        <f t="shared" si="2"/>
        <v>15</v>
      </c>
      <c r="O37" s="3">
        <v>1</v>
      </c>
      <c r="P37" s="15">
        <f t="shared" si="3"/>
        <v>30</v>
      </c>
      <c r="Q37" s="9">
        <v>1</v>
      </c>
      <c r="R37" s="15">
        <f t="shared" si="4"/>
        <v>1</v>
      </c>
      <c r="S37" s="15">
        <f t="shared" si="5"/>
        <v>30</v>
      </c>
      <c r="T37" s="4">
        <f t="shared" si="6"/>
        <v>1.5</v>
      </c>
      <c r="U37" s="3">
        <f t="shared" si="7"/>
        <v>45</v>
      </c>
      <c r="V37" s="19"/>
    </row>
    <row r="38" spans="1:22" x14ac:dyDescent="0.3">
      <c r="A38" s="7"/>
      <c r="B38" s="63"/>
      <c r="C38" s="13" t="s">
        <v>18</v>
      </c>
      <c r="D38" s="65"/>
      <c r="E38" s="65"/>
      <c r="F38" s="65"/>
      <c r="G38" s="66"/>
      <c r="H38" s="15">
        <v>150</v>
      </c>
      <c r="I38" s="15">
        <v>45</v>
      </c>
      <c r="J38" s="3">
        <v>0.5</v>
      </c>
      <c r="K38" s="15">
        <f t="shared" si="0"/>
        <v>15</v>
      </c>
      <c r="L38" s="9">
        <v>1</v>
      </c>
      <c r="M38" s="15">
        <f t="shared" si="1"/>
        <v>0.5</v>
      </c>
      <c r="N38" s="15">
        <f t="shared" si="2"/>
        <v>15</v>
      </c>
      <c r="O38" s="3">
        <v>1</v>
      </c>
      <c r="P38" s="15">
        <f t="shared" si="3"/>
        <v>30</v>
      </c>
      <c r="Q38" s="9">
        <v>1</v>
      </c>
      <c r="R38" s="15">
        <f t="shared" si="4"/>
        <v>1</v>
      </c>
      <c r="S38" s="15">
        <f t="shared" si="5"/>
        <v>30</v>
      </c>
      <c r="T38" s="4">
        <f t="shared" si="6"/>
        <v>1.5</v>
      </c>
      <c r="U38" s="3">
        <f t="shared" si="7"/>
        <v>45</v>
      </c>
      <c r="V38" s="19"/>
    </row>
    <row r="39" spans="1:22" x14ac:dyDescent="0.3">
      <c r="A39" s="7"/>
      <c r="B39" s="62" t="s">
        <v>241</v>
      </c>
      <c r="C39" s="13" t="s">
        <v>17</v>
      </c>
      <c r="D39" s="65"/>
      <c r="E39" s="65"/>
      <c r="F39" s="65"/>
      <c r="G39" s="64">
        <v>5</v>
      </c>
      <c r="H39" s="15">
        <v>150</v>
      </c>
      <c r="I39" s="15">
        <v>45</v>
      </c>
      <c r="J39" s="3">
        <v>0.5</v>
      </c>
      <c r="K39" s="15">
        <f t="shared" si="0"/>
        <v>15</v>
      </c>
      <c r="L39" s="9">
        <v>1</v>
      </c>
      <c r="M39" s="15">
        <f t="shared" si="1"/>
        <v>0.5</v>
      </c>
      <c r="N39" s="15">
        <f t="shared" si="2"/>
        <v>15</v>
      </c>
      <c r="O39" s="3">
        <v>1</v>
      </c>
      <c r="P39" s="15">
        <f t="shared" si="3"/>
        <v>30</v>
      </c>
      <c r="Q39" s="9">
        <v>1</v>
      </c>
      <c r="R39" s="15">
        <f t="shared" si="4"/>
        <v>1</v>
      </c>
      <c r="S39" s="15">
        <f t="shared" si="5"/>
        <v>30</v>
      </c>
      <c r="T39" s="4">
        <f t="shared" si="6"/>
        <v>1.5</v>
      </c>
      <c r="U39" s="3">
        <f t="shared" si="7"/>
        <v>45</v>
      </c>
      <c r="V39" s="19"/>
    </row>
    <row r="40" spans="1:22" x14ac:dyDescent="0.3">
      <c r="A40" s="7"/>
      <c r="B40" s="63"/>
      <c r="C40" s="13" t="s">
        <v>18</v>
      </c>
      <c r="D40" s="66"/>
      <c r="E40" s="66"/>
      <c r="F40" s="66"/>
      <c r="G40" s="66"/>
      <c r="H40" s="15">
        <v>150</v>
      </c>
      <c r="I40" s="15">
        <v>45</v>
      </c>
      <c r="J40" s="3">
        <v>0.5</v>
      </c>
      <c r="K40" s="15">
        <f t="shared" si="0"/>
        <v>15</v>
      </c>
      <c r="L40" s="9">
        <v>1</v>
      </c>
      <c r="M40" s="15">
        <f t="shared" si="1"/>
        <v>0.5</v>
      </c>
      <c r="N40" s="15">
        <f t="shared" si="2"/>
        <v>15</v>
      </c>
      <c r="O40" s="3">
        <v>1</v>
      </c>
      <c r="P40" s="15">
        <f t="shared" si="3"/>
        <v>30</v>
      </c>
      <c r="Q40" s="9">
        <v>1</v>
      </c>
      <c r="R40" s="15">
        <f t="shared" si="4"/>
        <v>1</v>
      </c>
      <c r="S40" s="15">
        <f t="shared" si="5"/>
        <v>30</v>
      </c>
      <c r="T40" s="4">
        <f t="shared" si="6"/>
        <v>1.5</v>
      </c>
      <c r="U40" s="3">
        <f t="shared" si="7"/>
        <v>45</v>
      </c>
      <c r="V40" s="19"/>
    </row>
    <row r="41" spans="1:22" ht="36" x14ac:dyDescent="0.3">
      <c r="A41" s="7"/>
      <c r="B41" s="14" t="s">
        <v>169</v>
      </c>
      <c r="C41" s="64" t="s">
        <v>17</v>
      </c>
      <c r="D41" s="64">
        <v>42</v>
      </c>
      <c r="E41" s="64"/>
      <c r="F41" s="64" t="s">
        <v>167</v>
      </c>
      <c r="G41" s="12">
        <v>3</v>
      </c>
      <c r="H41" s="15">
        <v>90</v>
      </c>
      <c r="I41" s="15">
        <v>30</v>
      </c>
      <c r="J41" s="3">
        <v>0.5</v>
      </c>
      <c r="K41" s="15">
        <f t="shared" si="0"/>
        <v>15</v>
      </c>
      <c r="L41" s="9">
        <v>1</v>
      </c>
      <c r="M41" s="15">
        <f t="shared" si="1"/>
        <v>0.5</v>
      </c>
      <c r="N41" s="15">
        <f t="shared" si="2"/>
        <v>15</v>
      </c>
      <c r="O41" s="3">
        <v>0.5</v>
      </c>
      <c r="P41" s="15">
        <f t="shared" si="3"/>
        <v>15</v>
      </c>
      <c r="Q41" s="17">
        <v>2</v>
      </c>
      <c r="R41" s="15">
        <f t="shared" si="4"/>
        <v>1</v>
      </c>
      <c r="S41" s="15">
        <f t="shared" si="5"/>
        <v>30</v>
      </c>
      <c r="T41" s="4">
        <f t="shared" si="6"/>
        <v>1.5</v>
      </c>
      <c r="U41" s="3">
        <f t="shared" si="7"/>
        <v>45</v>
      </c>
      <c r="V41" s="19"/>
    </row>
    <row r="42" spans="1:22" ht="36" x14ac:dyDescent="0.3">
      <c r="A42" s="7"/>
      <c r="B42" s="14" t="s">
        <v>168</v>
      </c>
      <c r="C42" s="65"/>
      <c r="D42" s="65"/>
      <c r="E42" s="65"/>
      <c r="F42" s="65"/>
      <c r="G42" s="12">
        <v>5</v>
      </c>
      <c r="H42" s="15">
        <v>150</v>
      </c>
      <c r="I42" s="15">
        <v>45</v>
      </c>
      <c r="J42" s="3">
        <v>0.5</v>
      </c>
      <c r="K42" s="15">
        <f t="shared" si="0"/>
        <v>15</v>
      </c>
      <c r="L42" s="9">
        <v>1</v>
      </c>
      <c r="M42" s="15">
        <f t="shared" si="1"/>
        <v>0.5</v>
      </c>
      <c r="N42" s="15">
        <f t="shared" si="2"/>
        <v>15</v>
      </c>
      <c r="O42" s="3">
        <v>1</v>
      </c>
      <c r="P42" s="15">
        <f t="shared" si="3"/>
        <v>30</v>
      </c>
      <c r="Q42" s="17">
        <v>2</v>
      </c>
      <c r="R42" s="15">
        <f t="shared" si="4"/>
        <v>2</v>
      </c>
      <c r="S42" s="15">
        <f t="shared" si="5"/>
        <v>60</v>
      </c>
      <c r="T42" s="4">
        <f t="shared" si="6"/>
        <v>2.5</v>
      </c>
      <c r="U42" s="3">
        <f t="shared" si="7"/>
        <v>75</v>
      </c>
      <c r="V42" s="19"/>
    </row>
    <row r="43" spans="1:22" ht="54" x14ac:dyDescent="0.3">
      <c r="A43" s="7"/>
      <c r="B43" s="14" t="s">
        <v>170</v>
      </c>
      <c r="C43" s="65"/>
      <c r="D43" s="65"/>
      <c r="E43" s="65"/>
      <c r="F43" s="65"/>
      <c r="G43" s="12">
        <v>4</v>
      </c>
      <c r="H43" s="15">
        <v>120</v>
      </c>
      <c r="I43" s="15">
        <v>45</v>
      </c>
      <c r="J43" s="3">
        <v>0.5</v>
      </c>
      <c r="K43" s="15">
        <f t="shared" si="0"/>
        <v>15</v>
      </c>
      <c r="L43" s="9">
        <v>1</v>
      </c>
      <c r="M43" s="15">
        <f t="shared" si="1"/>
        <v>0.5</v>
      </c>
      <c r="N43" s="15">
        <f t="shared" si="2"/>
        <v>15</v>
      </c>
      <c r="O43" s="3">
        <v>1</v>
      </c>
      <c r="P43" s="15">
        <f t="shared" si="3"/>
        <v>30</v>
      </c>
      <c r="Q43" s="17">
        <v>2</v>
      </c>
      <c r="R43" s="15">
        <f t="shared" si="4"/>
        <v>2</v>
      </c>
      <c r="S43" s="15">
        <f t="shared" si="5"/>
        <v>60</v>
      </c>
      <c r="T43" s="4">
        <f t="shared" si="6"/>
        <v>2.5</v>
      </c>
      <c r="U43" s="3">
        <f t="shared" si="7"/>
        <v>75</v>
      </c>
      <c r="V43" s="53"/>
    </row>
    <row r="44" spans="1:22" ht="90" x14ac:dyDescent="0.3">
      <c r="A44" s="7"/>
      <c r="B44" s="14" t="s">
        <v>245</v>
      </c>
      <c r="C44" s="65"/>
      <c r="D44" s="65"/>
      <c r="E44" s="65"/>
      <c r="F44" s="65"/>
      <c r="G44" s="12">
        <v>5</v>
      </c>
      <c r="H44" s="15">
        <v>150</v>
      </c>
      <c r="I44" s="15">
        <v>45</v>
      </c>
      <c r="J44" s="3">
        <v>0.5</v>
      </c>
      <c r="K44" s="15">
        <f t="shared" si="0"/>
        <v>15</v>
      </c>
      <c r="L44" s="9">
        <v>1</v>
      </c>
      <c r="M44" s="15">
        <f t="shared" si="1"/>
        <v>0.5</v>
      </c>
      <c r="N44" s="15">
        <f t="shared" si="2"/>
        <v>15</v>
      </c>
      <c r="O44" s="3">
        <v>1</v>
      </c>
      <c r="P44" s="15">
        <f t="shared" si="3"/>
        <v>30</v>
      </c>
      <c r="Q44" s="17">
        <v>2</v>
      </c>
      <c r="R44" s="15">
        <f t="shared" si="4"/>
        <v>2</v>
      </c>
      <c r="S44" s="15">
        <f t="shared" si="5"/>
        <v>60</v>
      </c>
      <c r="T44" s="4">
        <f t="shared" si="6"/>
        <v>2.5</v>
      </c>
      <c r="U44" s="3">
        <f t="shared" si="7"/>
        <v>75</v>
      </c>
      <c r="V44" s="19"/>
    </row>
    <row r="45" spans="1:22" ht="54" x14ac:dyDescent="0.3">
      <c r="B45" s="14" t="s">
        <v>246</v>
      </c>
      <c r="C45" s="66"/>
      <c r="D45" s="65"/>
      <c r="E45" s="65"/>
      <c r="F45" s="65"/>
      <c r="G45" s="12">
        <v>3</v>
      </c>
      <c r="H45" s="15">
        <v>90</v>
      </c>
      <c r="I45" s="15">
        <v>30</v>
      </c>
      <c r="J45" s="3">
        <v>0.5</v>
      </c>
      <c r="K45" s="15">
        <f t="shared" si="0"/>
        <v>15</v>
      </c>
      <c r="L45" s="9">
        <v>1</v>
      </c>
      <c r="M45" s="15">
        <f t="shared" si="1"/>
        <v>0.5</v>
      </c>
      <c r="N45" s="15">
        <f t="shared" si="2"/>
        <v>15</v>
      </c>
      <c r="O45" s="3">
        <v>0.5</v>
      </c>
      <c r="P45" s="15">
        <f t="shared" si="3"/>
        <v>15</v>
      </c>
      <c r="Q45" s="17">
        <v>2</v>
      </c>
      <c r="R45" s="15">
        <f t="shared" si="4"/>
        <v>1</v>
      </c>
      <c r="S45" s="15">
        <f t="shared" si="5"/>
        <v>30</v>
      </c>
      <c r="T45" s="4">
        <f t="shared" si="6"/>
        <v>1.5</v>
      </c>
      <c r="U45" s="3">
        <f t="shared" si="7"/>
        <v>45</v>
      </c>
      <c r="V45" s="19"/>
    </row>
    <row r="46" spans="1:22" ht="36" x14ac:dyDescent="0.35">
      <c r="B46" s="62" t="s">
        <v>253</v>
      </c>
      <c r="C46" s="13" t="s">
        <v>17</v>
      </c>
      <c r="D46" s="64">
        <v>23</v>
      </c>
      <c r="E46" s="64">
        <v>5</v>
      </c>
      <c r="F46" s="64" t="s">
        <v>21</v>
      </c>
      <c r="G46" s="64">
        <v>3</v>
      </c>
      <c r="H46" s="15">
        <v>90</v>
      </c>
      <c r="I46" s="15">
        <v>30</v>
      </c>
      <c r="J46" s="3">
        <v>0</v>
      </c>
      <c r="K46" s="15">
        <f t="shared" si="0"/>
        <v>0</v>
      </c>
      <c r="L46" s="17">
        <v>0</v>
      </c>
      <c r="M46" s="15">
        <f t="shared" si="1"/>
        <v>0</v>
      </c>
      <c r="N46" s="15">
        <f t="shared" si="2"/>
        <v>0</v>
      </c>
      <c r="O46" s="3">
        <v>1</v>
      </c>
      <c r="P46" s="15">
        <f t="shared" si="3"/>
        <v>30</v>
      </c>
      <c r="Q46" s="9">
        <v>12</v>
      </c>
      <c r="R46" s="15">
        <f t="shared" si="4"/>
        <v>12</v>
      </c>
      <c r="S46" s="15">
        <f t="shared" si="5"/>
        <v>360</v>
      </c>
      <c r="T46" s="4">
        <f t="shared" si="6"/>
        <v>12</v>
      </c>
      <c r="U46" s="3">
        <f t="shared" si="7"/>
        <v>360</v>
      </c>
      <c r="V46" s="32" t="s">
        <v>412</v>
      </c>
    </row>
    <row r="47" spans="1:22" ht="36" x14ac:dyDescent="0.35">
      <c r="B47" s="63"/>
      <c r="C47" s="13" t="s">
        <v>18</v>
      </c>
      <c r="D47" s="65"/>
      <c r="E47" s="65"/>
      <c r="F47" s="65"/>
      <c r="G47" s="66"/>
      <c r="H47" s="15">
        <v>90</v>
      </c>
      <c r="I47" s="15">
        <v>30</v>
      </c>
      <c r="J47" s="3">
        <v>0</v>
      </c>
      <c r="K47" s="15">
        <f t="shared" si="0"/>
        <v>0</v>
      </c>
      <c r="L47" s="17">
        <v>0</v>
      </c>
      <c r="M47" s="15">
        <f t="shared" si="1"/>
        <v>0</v>
      </c>
      <c r="N47" s="15">
        <f t="shared" si="2"/>
        <v>0</v>
      </c>
      <c r="O47" s="3">
        <v>1</v>
      </c>
      <c r="P47" s="15">
        <f t="shared" si="3"/>
        <v>30</v>
      </c>
      <c r="Q47" s="9">
        <v>3</v>
      </c>
      <c r="R47" s="15">
        <f t="shared" si="4"/>
        <v>3</v>
      </c>
      <c r="S47" s="15">
        <f t="shared" si="5"/>
        <v>90</v>
      </c>
      <c r="T47" s="4">
        <f t="shared" si="6"/>
        <v>3</v>
      </c>
      <c r="U47" s="3">
        <f t="shared" si="7"/>
        <v>90</v>
      </c>
      <c r="V47" s="32" t="s">
        <v>411</v>
      </c>
    </row>
    <row r="48" spans="1:22" x14ac:dyDescent="0.3">
      <c r="B48" s="62" t="s">
        <v>254</v>
      </c>
      <c r="C48" s="13" t="s">
        <v>17</v>
      </c>
      <c r="D48" s="65"/>
      <c r="E48" s="65"/>
      <c r="F48" s="65"/>
      <c r="G48" s="64">
        <v>3</v>
      </c>
      <c r="H48" s="15">
        <v>90</v>
      </c>
      <c r="I48" s="15">
        <v>30</v>
      </c>
      <c r="J48" s="3">
        <v>0</v>
      </c>
      <c r="K48" s="15">
        <f t="shared" si="0"/>
        <v>0</v>
      </c>
      <c r="L48" s="17">
        <v>0</v>
      </c>
      <c r="M48" s="15">
        <f t="shared" si="1"/>
        <v>0</v>
      </c>
      <c r="N48" s="15">
        <f t="shared" si="2"/>
        <v>0</v>
      </c>
      <c r="O48" s="3">
        <v>1</v>
      </c>
      <c r="P48" s="15">
        <f t="shared" si="3"/>
        <v>30</v>
      </c>
      <c r="Q48" s="9">
        <v>5</v>
      </c>
      <c r="R48" s="15">
        <f t="shared" si="4"/>
        <v>5</v>
      </c>
      <c r="S48" s="15">
        <f t="shared" si="5"/>
        <v>150</v>
      </c>
      <c r="T48" s="4">
        <f t="shared" si="6"/>
        <v>5</v>
      </c>
      <c r="U48" s="3">
        <f t="shared" si="7"/>
        <v>150</v>
      </c>
      <c r="V48" s="19"/>
    </row>
    <row r="49" spans="1:23" x14ac:dyDescent="0.3">
      <c r="B49" s="63"/>
      <c r="C49" s="13" t="s">
        <v>18</v>
      </c>
      <c r="D49" s="65"/>
      <c r="E49" s="65"/>
      <c r="F49" s="65"/>
      <c r="G49" s="66"/>
      <c r="H49" s="15">
        <v>90</v>
      </c>
      <c r="I49" s="15">
        <v>30</v>
      </c>
      <c r="J49" s="3">
        <v>0</v>
      </c>
      <c r="K49" s="15">
        <f t="shared" si="0"/>
        <v>0</v>
      </c>
      <c r="L49" s="17">
        <v>0</v>
      </c>
      <c r="M49" s="15">
        <f t="shared" si="1"/>
        <v>0</v>
      </c>
      <c r="N49" s="15">
        <f t="shared" si="2"/>
        <v>0</v>
      </c>
      <c r="O49" s="3">
        <v>1</v>
      </c>
      <c r="P49" s="15">
        <f t="shared" si="3"/>
        <v>30</v>
      </c>
      <c r="Q49" s="9">
        <v>1</v>
      </c>
      <c r="R49" s="15">
        <f t="shared" si="4"/>
        <v>1</v>
      </c>
      <c r="S49" s="15">
        <f t="shared" si="5"/>
        <v>30</v>
      </c>
      <c r="T49" s="4">
        <f t="shared" si="6"/>
        <v>1</v>
      </c>
      <c r="U49" s="3">
        <f t="shared" si="7"/>
        <v>30</v>
      </c>
      <c r="V49" s="19"/>
    </row>
    <row r="50" spans="1:23" x14ac:dyDescent="0.3">
      <c r="B50" s="62" t="s">
        <v>255</v>
      </c>
      <c r="C50" s="13" t="s">
        <v>17</v>
      </c>
      <c r="D50" s="65"/>
      <c r="E50" s="65"/>
      <c r="F50" s="65"/>
      <c r="G50" s="64">
        <v>3</v>
      </c>
      <c r="H50" s="15">
        <v>90</v>
      </c>
      <c r="I50" s="15">
        <v>30</v>
      </c>
      <c r="J50" s="3">
        <v>0</v>
      </c>
      <c r="K50" s="15">
        <f t="shared" si="0"/>
        <v>0</v>
      </c>
      <c r="L50" s="17">
        <v>0</v>
      </c>
      <c r="M50" s="15">
        <f t="shared" si="1"/>
        <v>0</v>
      </c>
      <c r="N50" s="15">
        <f t="shared" si="2"/>
        <v>0</v>
      </c>
      <c r="O50" s="3">
        <v>1</v>
      </c>
      <c r="P50" s="15">
        <f t="shared" si="3"/>
        <v>30</v>
      </c>
      <c r="Q50" s="17">
        <v>1</v>
      </c>
      <c r="R50" s="15">
        <f t="shared" si="4"/>
        <v>1</v>
      </c>
      <c r="S50" s="15">
        <f t="shared" si="5"/>
        <v>30</v>
      </c>
      <c r="T50" s="4">
        <f t="shared" si="6"/>
        <v>1</v>
      </c>
      <c r="U50" s="3">
        <f t="shared" si="7"/>
        <v>30</v>
      </c>
      <c r="V50" s="19"/>
    </row>
    <row r="51" spans="1:23" x14ac:dyDescent="0.3">
      <c r="B51" s="63"/>
      <c r="C51" s="13" t="s">
        <v>18</v>
      </c>
      <c r="D51" s="65"/>
      <c r="E51" s="65"/>
      <c r="F51" s="65"/>
      <c r="G51" s="66"/>
      <c r="H51" s="15">
        <v>90</v>
      </c>
      <c r="I51" s="15">
        <v>30</v>
      </c>
      <c r="J51" s="3">
        <v>0</v>
      </c>
      <c r="K51" s="15">
        <f t="shared" si="0"/>
        <v>0</v>
      </c>
      <c r="L51" s="17">
        <v>0</v>
      </c>
      <c r="M51" s="15">
        <f t="shared" si="1"/>
        <v>0</v>
      </c>
      <c r="N51" s="15">
        <f t="shared" si="2"/>
        <v>0</v>
      </c>
      <c r="O51" s="3">
        <v>1</v>
      </c>
      <c r="P51" s="15">
        <f t="shared" si="3"/>
        <v>30</v>
      </c>
      <c r="Q51" s="17">
        <v>1</v>
      </c>
      <c r="R51" s="15">
        <f t="shared" si="4"/>
        <v>1</v>
      </c>
      <c r="S51" s="15">
        <f t="shared" si="5"/>
        <v>30</v>
      </c>
      <c r="T51" s="4">
        <f t="shared" si="6"/>
        <v>1</v>
      </c>
      <c r="U51" s="3">
        <f t="shared" si="7"/>
        <v>30</v>
      </c>
      <c r="V51" s="19"/>
    </row>
    <row r="52" spans="1:23" x14ac:dyDescent="0.35">
      <c r="A52" s="8"/>
      <c r="B52" s="62" t="s">
        <v>256</v>
      </c>
      <c r="C52" s="13" t="s">
        <v>17</v>
      </c>
      <c r="D52" s="65"/>
      <c r="E52" s="65"/>
      <c r="F52" s="65"/>
      <c r="G52" s="87">
        <v>4</v>
      </c>
      <c r="H52" s="15">
        <v>120</v>
      </c>
      <c r="I52" s="15">
        <v>45</v>
      </c>
      <c r="J52" s="3">
        <v>0</v>
      </c>
      <c r="K52" s="15">
        <f t="shared" si="0"/>
        <v>0</v>
      </c>
      <c r="L52" s="17">
        <v>0</v>
      </c>
      <c r="M52" s="15">
        <f t="shared" si="1"/>
        <v>0</v>
      </c>
      <c r="N52" s="15">
        <f t="shared" si="2"/>
        <v>0</v>
      </c>
      <c r="O52" s="3">
        <v>1.5</v>
      </c>
      <c r="P52" s="15">
        <f t="shared" si="3"/>
        <v>45</v>
      </c>
      <c r="Q52" s="17">
        <v>11</v>
      </c>
      <c r="R52" s="15">
        <f t="shared" si="4"/>
        <v>16.5</v>
      </c>
      <c r="S52" s="15">
        <f t="shared" si="5"/>
        <v>495</v>
      </c>
      <c r="T52" s="4">
        <f t="shared" si="6"/>
        <v>16.5</v>
      </c>
      <c r="U52" s="3">
        <f t="shared" si="7"/>
        <v>495</v>
      </c>
      <c r="V52" s="10"/>
    </row>
    <row r="53" spans="1:23" x14ac:dyDescent="0.35">
      <c r="A53" s="8"/>
      <c r="B53" s="63"/>
      <c r="C53" s="13" t="s">
        <v>18</v>
      </c>
      <c r="D53" s="65"/>
      <c r="E53" s="65"/>
      <c r="F53" s="65"/>
      <c r="G53" s="88"/>
      <c r="H53" s="15">
        <v>120</v>
      </c>
      <c r="I53" s="15">
        <v>45</v>
      </c>
      <c r="J53" s="3">
        <v>0</v>
      </c>
      <c r="K53" s="15">
        <f t="shared" si="0"/>
        <v>0</v>
      </c>
      <c r="L53" s="17">
        <v>0</v>
      </c>
      <c r="M53" s="15">
        <f t="shared" si="1"/>
        <v>0</v>
      </c>
      <c r="N53" s="15">
        <f t="shared" si="2"/>
        <v>0</v>
      </c>
      <c r="O53" s="3">
        <v>1.5</v>
      </c>
      <c r="P53" s="15">
        <f t="shared" si="3"/>
        <v>45</v>
      </c>
      <c r="Q53" s="17">
        <v>2</v>
      </c>
      <c r="R53" s="15">
        <f t="shared" si="4"/>
        <v>3</v>
      </c>
      <c r="S53" s="15">
        <f t="shared" si="5"/>
        <v>90</v>
      </c>
      <c r="T53" s="4">
        <f t="shared" si="6"/>
        <v>3</v>
      </c>
      <c r="U53" s="3">
        <f t="shared" si="7"/>
        <v>90</v>
      </c>
      <c r="V53" s="20"/>
    </row>
    <row r="54" spans="1:23" ht="36" x14ac:dyDescent="0.35">
      <c r="A54" s="8"/>
      <c r="B54" s="62" t="s">
        <v>257</v>
      </c>
      <c r="C54" s="13" t="s">
        <v>17</v>
      </c>
      <c r="D54" s="65"/>
      <c r="E54" s="65"/>
      <c r="F54" s="65"/>
      <c r="G54" s="87">
        <v>4</v>
      </c>
      <c r="H54" s="15">
        <v>120</v>
      </c>
      <c r="I54" s="15">
        <v>45</v>
      </c>
      <c r="J54" s="3">
        <v>0</v>
      </c>
      <c r="K54" s="15">
        <f t="shared" si="0"/>
        <v>0</v>
      </c>
      <c r="L54" s="17">
        <v>0</v>
      </c>
      <c r="M54" s="15">
        <f t="shared" si="1"/>
        <v>0</v>
      </c>
      <c r="N54" s="15">
        <f t="shared" si="2"/>
        <v>0</v>
      </c>
      <c r="O54" s="3">
        <v>1.5</v>
      </c>
      <c r="P54" s="15">
        <f t="shared" si="3"/>
        <v>45</v>
      </c>
      <c r="Q54" s="9">
        <v>9</v>
      </c>
      <c r="R54" s="15">
        <f t="shared" si="4"/>
        <v>13.5</v>
      </c>
      <c r="S54" s="15">
        <f t="shared" si="5"/>
        <v>405</v>
      </c>
      <c r="T54" s="4">
        <f t="shared" si="6"/>
        <v>13.5</v>
      </c>
      <c r="U54" s="3">
        <f t="shared" si="7"/>
        <v>405</v>
      </c>
      <c r="V54" s="32" t="s">
        <v>560</v>
      </c>
    </row>
    <row r="55" spans="1:23" ht="36" x14ac:dyDescent="0.35">
      <c r="A55" s="8"/>
      <c r="B55" s="63"/>
      <c r="C55" s="13" t="s">
        <v>18</v>
      </c>
      <c r="D55" s="65"/>
      <c r="E55" s="65"/>
      <c r="F55" s="65"/>
      <c r="G55" s="88"/>
      <c r="H55" s="15">
        <v>120</v>
      </c>
      <c r="I55" s="15">
        <v>45</v>
      </c>
      <c r="J55" s="3">
        <v>0</v>
      </c>
      <c r="K55" s="15">
        <f t="shared" si="0"/>
        <v>0</v>
      </c>
      <c r="L55" s="17">
        <v>0</v>
      </c>
      <c r="M55" s="15">
        <f t="shared" si="1"/>
        <v>0</v>
      </c>
      <c r="N55" s="15">
        <f t="shared" si="2"/>
        <v>0</v>
      </c>
      <c r="O55" s="3">
        <v>1.5</v>
      </c>
      <c r="P55" s="15">
        <f t="shared" si="3"/>
        <v>45</v>
      </c>
      <c r="Q55" s="9">
        <v>1.5</v>
      </c>
      <c r="R55" s="15">
        <f t="shared" si="4"/>
        <v>2.25</v>
      </c>
      <c r="S55" s="15">
        <f t="shared" si="5"/>
        <v>67.5</v>
      </c>
      <c r="T55" s="4">
        <f t="shared" si="6"/>
        <v>2.25</v>
      </c>
      <c r="U55" s="3">
        <f t="shared" si="7"/>
        <v>67.5</v>
      </c>
      <c r="V55" s="32" t="s">
        <v>534</v>
      </c>
    </row>
    <row r="56" spans="1:23" x14ac:dyDescent="0.3">
      <c r="A56" s="7"/>
      <c r="B56" s="62" t="s">
        <v>258</v>
      </c>
      <c r="C56" s="13" t="s">
        <v>17</v>
      </c>
      <c r="D56" s="65"/>
      <c r="E56" s="65"/>
      <c r="F56" s="65"/>
      <c r="G56" s="64">
        <v>3</v>
      </c>
      <c r="H56" s="15">
        <v>90</v>
      </c>
      <c r="I56" s="15">
        <v>30</v>
      </c>
      <c r="J56" s="3">
        <v>0</v>
      </c>
      <c r="K56" s="15">
        <f t="shared" si="0"/>
        <v>0</v>
      </c>
      <c r="L56" s="17">
        <v>0</v>
      </c>
      <c r="M56" s="15">
        <f t="shared" si="1"/>
        <v>0</v>
      </c>
      <c r="N56" s="15">
        <f t="shared" si="2"/>
        <v>0</v>
      </c>
      <c r="O56" s="3">
        <v>1</v>
      </c>
      <c r="P56" s="15">
        <f t="shared" si="3"/>
        <v>30</v>
      </c>
      <c r="Q56" s="17">
        <v>1.5</v>
      </c>
      <c r="R56" s="15">
        <f t="shared" si="4"/>
        <v>1.5</v>
      </c>
      <c r="S56" s="15">
        <f t="shared" si="5"/>
        <v>45</v>
      </c>
      <c r="T56" s="4">
        <f t="shared" si="6"/>
        <v>1.5</v>
      </c>
      <c r="U56" s="3">
        <f t="shared" si="7"/>
        <v>45</v>
      </c>
      <c r="V56" s="29" t="s">
        <v>410</v>
      </c>
    </row>
    <row r="57" spans="1:23" x14ac:dyDescent="0.3">
      <c r="A57" s="7"/>
      <c r="B57" s="63"/>
      <c r="C57" s="13" t="s">
        <v>18</v>
      </c>
      <c r="D57" s="66"/>
      <c r="E57" s="66"/>
      <c r="F57" s="66"/>
      <c r="G57" s="66"/>
      <c r="H57" s="15">
        <v>90</v>
      </c>
      <c r="I57" s="15">
        <v>30</v>
      </c>
      <c r="J57" s="3">
        <v>0</v>
      </c>
      <c r="K57" s="15">
        <f t="shared" si="0"/>
        <v>0</v>
      </c>
      <c r="L57" s="17">
        <v>0</v>
      </c>
      <c r="M57" s="15">
        <f t="shared" si="1"/>
        <v>0</v>
      </c>
      <c r="N57" s="15">
        <f t="shared" si="2"/>
        <v>0</v>
      </c>
      <c r="O57" s="3">
        <v>1</v>
      </c>
      <c r="P57" s="15">
        <f t="shared" si="3"/>
        <v>30</v>
      </c>
      <c r="Q57" s="17">
        <v>1.5</v>
      </c>
      <c r="R57" s="15">
        <f t="shared" si="4"/>
        <v>1.5</v>
      </c>
      <c r="S57" s="15">
        <f t="shared" si="5"/>
        <v>45</v>
      </c>
      <c r="T57" s="4">
        <f t="shared" si="6"/>
        <v>1.5</v>
      </c>
      <c r="U57" s="3">
        <f t="shared" si="7"/>
        <v>45</v>
      </c>
      <c r="V57" s="29" t="s">
        <v>410</v>
      </c>
    </row>
    <row r="58" spans="1:23" ht="42" customHeight="1" x14ac:dyDescent="0.3">
      <c r="A58" s="7"/>
      <c r="B58" s="62" t="s">
        <v>266</v>
      </c>
      <c r="C58" s="13" t="s">
        <v>17</v>
      </c>
      <c r="D58" s="64">
        <v>9</v>
      </c>
      <c r="E58" s="64">
        <v>6</v>
      </c>
      <c r="F58" s="64" t="s">
        <v>265</v>
      </c>
      <c r="G58" s="64">
        <v>5</v>
      </c>
      <c r="H58" s="15">
        <v>150</v>
      </c>
      <c r="I58" s="15">
        <v>45</v>
      </c>
      <c r="J58" s="3">
        <v>0</v>
      </c>
      <c r="K58" s="15">
        <f t="shared" si="0"/>
        <v>0</v>
      </c>
      <c r="L58" s="17">
        <v>0</v>
      </c>
      <c r="M58" s="15">
        <f t="shared" si="1"/>
        <v>0</v>
      </c>
      <c r="N58" s="15">
        <f t="shared" si="2"/>
        <v>0</v>
      </c>
      <c r="O58" s="3">
        <v>1.5</v>
      </c>
      <c r="P58" s="15">
        <f t="shared" si="3"/>
        <v>45</v>
      </c>
      <c r="Q58" s="17">
        <v>1</v>
      </c>
      <c r="R58" s="15">
        <f t="shared" si="4"/>
        <v>1.5</v>
      </c>
      <c r="S58" s="15">
        <f t="shared" si="5"/>
        <v>45</v>
      </c>
      <c r="T58" s="4">
        <f t="shared" si="6"/>
        <v>1.5</v>
      </c>
      <c r="U58" s="3">
        <f t="shared" si="7"/>
        <v>45</v>
      </c>
      <c r="V58" s="19"/>
    </row>
    <row r="59" spans="1:23" ht="33.6" customHeight="1" x14ac:dyDescent="0.3">
      <c r="A59" s="7"/>
      <c r="B59" s="63"/>
      <c r="C59" s="13" t="s">
        <v>18</v>
      </c>
      <c r="D59" s="65"/>
      <c r="E59" s="65"/>
      <c r="F59" s="65"/>
      <c r="G59" s="66"/>
      <c r="H59" s="15">
        <v>150</v>
      </c>
      <c r="I59" s="15">
        <v>45</v>
      </c>
      <c r="J59" s="3">
        <v>0</v>
      </c>
      <c r="K59" s="15">
        <f t="shared" si="0"/>
        <v>0</v>
      </c>
      <c r="L59" s="17">
        <v>0</v>
      </c>
      <c r="M59" s="15">
        <f t="shared" si="1"/>
        <v>0</v>
      </c>
      <c r="N59" s="15">
        <f t="shared" si="2"/>
        <v>0</v>
      </c>
      <c r="O59" s="3">
        <v>1.5</v>
      </c>
      <c r="P59" s="15">
        <f t="shared" si="3"/>
        <v>45</v>
      </c>
      <c r="Q59" s="17">
        <v>1</v>
      </c>
      <c r="R59" s="15">
        <f t="shared" si="4"/>
        <v>1.5</v>
      </c>
      <c r="S59" s="15">
        <f t="shared" si="5"/>
        <v>45</v>
      </c>
      <c r="T59" s="4">
        <f t="shared" si="6"/>
        <v>1.5</v>
      </c>
      <c r="U59" s="3">
        <f t="shared" si="7"/>
        <v>45</v>
      </c>
      <c r="V59" s="19"/>
    </row>
    <row r="60" spans="1:23" ht="28.2" customHeight="1" x14ac:dyDescent="0.3">
      <c r="A60" s="7"/>
      <c r="B60" s="62" t="s">
        <v>607</v>
      </c>
      <c r="C60" s="13" t="s">
        <v>17</v>
      </c>
      <c r="D60" s="65"/>
      <c r="E60" s="65"/>
      <c r="F60" s="65"/>
      <c r="G60" s="64">
        <v>4</v>
      </c>
      <c r="H60" s="15">
        <v>120</v>
      </c>
      <c r="I60" s="15">
        <v>45</v>
      </c>
      <c r="J60" s="3">
        <v>0</v>
      </c>
      <c r="K60" s="15">
        <f t="shared" si="0"/>
        <v>0</v>
      </c>
      <c r="L60" s="17">
        <v>0</v>
      </c>
      <c r="M60" s="15">
        <f t="shared" si="1"/>
        <v>0</v>
      </c>
      <c r="N60" s="15">
        <f t="shared" si="2"/>
        <v>0</v>
      </c>
      <c r="O60" s="3">
        <v>1.5</v>
      </c>
      <c r="P60" s="15">
        <f t="shared" si="3"/>
        <v>45</v>
      </c>
      <c r="Q60" s="17">
        <v>1</v>
      </c>
      <c r="R60" s="15">
        <f t="shared" si="4"/>
        <v>1.5</v>
      </c>
      <c r="S60" s="15">
        <f t="shared" si="5"/>
        <v>45</v>
      </c>
      <c r="T60" s="4">
        <f t="shared" si="6"/>
        <v>1.5</v>
      </c>
      <c r="U60" s="3">
        <f t="shared" si="7"/>
        <v>45</v>
      </c>
      <c r="V60" s="53" t="s">
        <v>592</v>
      </c>
      <c r="W60">
        <v>1.5</v>
      </c>
    </row>
    <row r="61" spans="1:23" ht="30.6" customHeight="1" x14ac:dyDescent="0.3">
      <c r="A61" s="7"/>
      <c r="B61" s="63"/>
      <c r="C61" s="13" t="s">
        <v>18</v>
      </c>
      <c r="D61" s="65"/>
      <c r="E61" s="65"/>
      <c r="F61" s="65"/>
      <c r="G61" s="66"/>
      <c r="H61" s="15">
        <v>120</v>
      </c>
      <c r="I61" s="15">
        <v>45</v>
      </c>
      <c r="J61" s="3">
        <v>0</v>
      </c>
      <c r="K61" s="15">
        <f t="shared" si="0"/>
        <v>0</v>
      </c>
      <c r="L61" s="17">
        <v>0</v>
      </c>
      <c r="M61" s="15">
        <f t="shared" si="1"/>
        <v>0</v>
      </c>
      <c r="N61" s="15">
        <f t="shared" si="2"/>
        <v>0</v>
      </c>
      <c r="O61" s="3">
        <v>1.5</v>
      </c>
      <c r="P61" s="15">
        <f t="shared" si="3"/>
        <v>45</v>
      </c>
      <c r="Q61" s="17">
        <v>1</v>
      </c>
      <c r="R61" s="15">
        <f t="shared" si="4"/>
        <v>1.5</v>
      </c>
      <c r="S61" s="15">
        <f t="shared" si="5"/>
        <v>45</v>
      </c>
      <c r="T61" s="4">
        <f t="shared" si="6"/>
        <v>1.5</v>
      </c>
      <c r="U61" s="3">
        <f t="shared" si="7"/>
        <v>45</v>
      </c>
      <c r="V61" s="53" t="s">
        <v>592</v>
      </c>
      <c r="W61">
        <v>1.5</v>
      </c>
    </row>
    <row r="62" spans="1:23" x14ac:dyDescent="0.3">
      <c r="A62" s="7"/>
      <c r="B62" s="62" t="s">
        <v>267</v>
      </c>
      <c r="C62" s="13" t="s">
        <v>17</v>
      </c>
      <c r="D62" s="65"/>
      <c r="E62" s="65"/>
      <c r="F62" s="65"/>
      <c r="G62" s="64">
        <v>4</v>
      </c>
      <c r="H62" s="15">
        <v>120</v>
      </c>
      <c r="I62" s="15">
        <v>45</v>
      </c>
      <c r="J62" s="3">
        <v>0</v>
      </c>
      <c r="K62" s="15">
        <f t="shared" si="0"/>
        <v>0</v>
      </c>
      <c r="L62" s="17">
        <v>0</v>
      </c>
      <c r="M62" s="15">
        <f t="shared" si="1"/>
        <v>0</v>
      </c>
      <c r="N62" s="15">
        <f t="shared" si="2"/>
        <v>0</v>
      </c>
      <c r="O62" s="3">
        <v>1.5</v>
      </c>
      <c r="P62" s="15">
        <f t="shared" si="3"/>
        <v>45</v>
      </c>
      <c r="Q62" s="17">
        <v>1</v>
      </c>
      <c r="R62" s="15">
        <f t="shared" si="4"/>
        <v>1.5</v>
      </c>
      <c r="S62" s="15">
        <f t="shared" si="5"/>
        <v>45</v>
      </c>
      <c r="T62" s="4">
        <f t="shared" si="6"/>
        <v>1.5</v>
      </c>
      <c r="U62" s="3">
        <f t="shared" si="7"/>
        <v>45</v>
      </c>
      <c r="V62" s="19"/>
    </row>
    <row r="63" spans="1:23" x14ac:dyDescent="0.3">
      <c r="A63" s="7"/>
      <c r="B63" s="63"/>
      <c r="C63" s="13" t="s">
        <v>18</v>
      </c>
      <c r="D63" s="65"/>
      <c r="E63" s="65"/>
      <c r="F63" s="65"/>
      <c r="G63" s="66"/>
      <c r="H63" s="15">
        <v>120</v>
      </c>
      <c r="I63" s="15">
        <v>45</v>
      </c>
      <c r="J63" s="3">
        <v>0</v>
      </c>
      <c r="K63" s="15">
        <f t="shared" si="0"/>
        <v>0</v>
      </c>
      <c r="L63" s="17">
        <v>0</v>
      </c>
      <c r="M63" s="15">
        <f t="shared" si="1"/>
        <v>0</v>
      </c>
      <c r="N63" s="15">
        <f t="shared" si="2"/>
        <v>0</v>
      </c>
      <c r="O63" s="3">
        <v>1.5</v>
      </c>
      <c r="P63" s="15">
        <f t="shared" si="3"/>
        <v>45</v>
      </c>
      <c r="Q63" s="17">
        <v>1</v>
      </c>
      <c r="R63" s="15">
        <f t="shared" si="4"/>
        <v>1.5</v>
      </c>
      <c r="S63" s="15">
        <f t="shared" si="5"/>
        <v>45</v>
      </c>
      <c r="T63" s="4">
        <f t="shared" si="6"/>
        <v>1.5</v>
      </c>
      <c r="U63" s="3">
        <f t="shared" si="7"/>
        <v>45</v>
      </c>
      <c r="V63" s="19"/>
    </row>
    <row r="64" spans="1:23" ht="55.2" customHeight="1" x14ac:dyDescent="0.3">
      <c r="A64" s="7"/>
      <c r="B64" s="62" t="s">
        <v>268</v>
      </c>
      <c r="C64" s="13" t="s">
        <v>17</v>
      </c>
      <c r="D64" s="65"/>
      <c r="E64" s="65"/>
      <c r="F64" s="65"/>
      <c r="G64" s="64">
        <v>4</v>
      </c>
      <c r="H64" s="15">
        <v>120</v>
      </c>
      <c r="I64" s="15">
        <v>45</v>
      </c>
      <c r="J64" s="3">
        <v>0</v>
      </c>
      <c r="K64" s="15">
        <f t="shared" si="0"/>
        <v>0</v>
      </c>
      <c r="L64" s="17">
        <v>0</v>
      </c>
      <c r="M64" s="15">
        <f t="shared" si="1"/>
        <v>0</v>
      </c>
      <c r="N64" s="15">
        <f t="shared" si="2"/>
        <v>0</v>
      </c>
      <c r="O64" s="3">
        <v>1.5</v>
      </c>
      <c r="P64" s="15">
        <f t="shared" si="3"/>
        <v>45</v>
      </c>
      <c r="Q64" s="17">
        <v>1</v>
      </c>
      <c r="R64" s="15">
        <f t="shared" si="4"/>
        <v>1.5</v>
      </c>
      <c r="S64" s="15">
        <f t="shared" si="5"/>
        <v>45</v>
      </c>
      <c r="T64" s="4">
        <f t="shared" si="6"/>
        <v>1.5</v>
      </c>
      <c r="U64" s="3">
        <f t="shared" si="7"/>
        <v>45</v>
      </c>
      <c r="V64" s="19"/>
    </row>
    <row r="65" spans="1:22" ht="52.95" customHeight="1" x14ac:dyDescent="0.3">
      <c r="A65" s="7"/>
      <c r="B65" s="63"/>
      <c r="C65" s="13" t="s">
        <v>18</v>
      </c>
      <c r="D65" s="65"/>
      <c r="E65" s="65"/>
      <c r="F65" s="65"/>
      <c r="G65" s="66"/>
      <c r="H65" s="15">
        <v>120</v>
      </c>
      <c r="I65" s="15">
        <v>45</v>
      </c>
      <c r="J65" s="3">
        <v>0</v>
      </c>
      <c r="K65" s="15">
        <f t="shared" si="0"/>
        <v>0</v>
      </c>
      <c r="L65" s="17">
        <v>0</v>
      </c>
      <c r="M65" s="15">
        <f t="shared" si="1"/>
        <v>0</v>
      </c>
      <c r="N65" s="15">
        <f t="shared" si="2"/>
        <v>0</v>
      </c>
      <c r="O65" s="3">
        <v>1.5</v>
      </c>
      <c r="P65" s="15">
        <f t="shared" si="3"/>
        <v>45</v>
      </c>
      <c r="Q65" s="17">
        <v>1</v>
      </c>
      <c r="R65" s="15">
        <f t="shared" si="4"/>
        <v>1.5</v>
      </c>
      <c r="S65" s="15">
        <f t="shared" si="5"/>
        <v>45</v>
      </c>
      <c r="T65" s="4">
        <f t="shared" si="6"/>
        <v>1.5</v>
      </c>
      <c r="U65" s="3">
        <f t="shared" si="7"/>
        <v>45</v>
      </c>
      <c r="V65" s="19"/>
    </row>
    <row r="66" spans="1:22" x14ac:dyDescent="0.3">
      <c r="A66" s="7"/>
      <c r="B66" s="62" t="s">
        <v>269</v>
      </c>
      <c r="C66" s="13" t="s">
        <v>17</v>
      </c>
      <c r="D66" s="65"/>
      <c r="E66" s="65"/>
      <c r="F66" s="65"/>
      <c r="G66" s="64">
        <v>4</v>
      </c>
      <c r="H66" s="15">
        <v>120</v>
      </c>
      <c r="I66" s="15">
        <v>45</v>
      </c>
      <c r="J66" s="3">
        <v>0</v>
      </c>
      <c r="K66" s="15">
        <f t="shared" si="0"/>
        <v>0</v>
      </c>
      <c r="L66" s="17">
        <v>0</v>
      </c>
      <c r="M66" s="15">
        <f t="shared" si="1"/>
        <v>0</v>
      </c>
      <c r="N66" s="15">
        <f t="shared" si="2"/>
        <v>0</v>
      </c>
      <c r="O66" s="3">
        <v>1.5</v>
      </c>
      <c r="P66" s="15">
        <f t="shared" si="3"/>
        <v>45</v>
      </c>
      <c r="Q66" s="17">
        <v>1</v>
      </c>
      <c r="R66" s="15">
        <f t="shared" si="4"/>
        <v>1.5</v>
      </c>
      <c r="S66" s="15">
        <f t="shared" si="5"/>
        <v>45</v>
      </c>
      <c r="T66" s="4">
        <f t="shared" si="6"/>
        <v>1.5</v>
      </c>
      <c r="U66" s="3">
        <f t="shared" si="7"/>
        <v>45</v>
      </c>
      <c r="V66" s="19"/>
    </row>
    <row r="67" spans="1:22" x14ac:dyDescent="0.3">
      <c r="A67" s="7"/>
      <c r="B67" s="63"/>
      <c r="C67" s="13" t="s">
        <v>18</v>
      </c>
      <c r="D67" s="66"/>
      <c r="E67" s="66"/>
      <c r="F67" s="66"/>
      <c r="G67" s="66"/>
      <c r="H67" s="15">
        <v>120</v>
      </c>
      <c r="I67" s="15">
        <v>45</v>
      </c>
      <c r="J67" s="3">
        <v>0</v>
      </c>
      <c r="K67" s="15">
        <f t="shared" si="0"/>
        <v>0</v>
      </c>
      <c r="L67" s="17">
        <v>0</v>
      </c>
      <c r="M67" s="15">
        <f t="shared" si="1"/>
        <v>0</v>
      </c>
      <c r="N67" s="15">
        <f t="shared" si="2"/>
        <v>0</v>
      </c>
      <c r="O67" s="3">
        <v>1.5</v>
      </c>
      <c r="P67" s="15">
        <f t="shared" si="3"/>
        <v>45</v>
      </c>
      <c r="Q67" s="17">
        <v>1</v>
      </c>
      <c r="R67" s="15">
        <f t="shared" si="4"/>
        <v>1.5</v>
      </c>
      <c r="S67" s="15">
        <f t="shared" si="5"/>
        <v>45</v>
      </c>
      <c r="T67" s="4">
        <f t="shared" si="6"/>
        <v>1.5</v>
      </c>
      <c r="U67" s="3">
        <f t="shared" si="7"/>
        <v>45</v>
      </c>
      <c r="V67" s="19"/>
    </row>
    <row r="68" spans="1:22" x14ac:dyDescent="0.3">
      <c r="A68" s="7"/>
      <c r="B68" s="14" t="s">
        <v>274</v>
      </c>
      <c r="C68" s="64" t="s">
        <v>17</v>
      </c>
      <c r="D68" s="64">
        <v>11</v>
      </c>
      <c r="E68" s="64"/>
      <c r="F68" s="64" t="s">
        <v>273</v>
      </c>
      <c r="G68" s="12">
        <v>5</v>
      </c>
      <c r="H68" s="15">
        <v>150</v>
      </c>
      <c r="I68" s="15">
        <v>45</v>
      </c>
      <c r="J68" s="3">
        <v>0</v>
      </c>
      <c r="K68" s="15">
        <f t="shared" si="0"/>
        <v>0</v>
      </c>
      <c r="L68" s="17">
        <v>0</v>
      </c>
      <c r="M68" s="15">
        <f t="shared" si="1"/>
        <v>0</v>
      </c>
      <c r="N68" s="15">
        <f t="shared" si="2"/>
        <v>0</v>
      </c>
      <c r="O68" s="3">
        <v>1.5</v>
      </c>
      <c r="P68" s="15">
        <f t="shared" si="3"/>
        <v>45</v>
      </c>
      <c r="Q68" s="17">
        <v>1</v>
      </c>
      <c r="R68" s="15">
        <f t="shared" si="4"/>
        <v>1.5</v>
      </c>
      <c r="S68" s="15">
        <f t="shared" si="5"/>
        <v>45</v>
      </c>
      <c r="T68" s="4">
        <f t="shared" si="6"/>
        <v>1.5</v>
      </c>
      <c r="U68" s="3">
        <f t="shared" si="7"/>
        <v>45</v>
      </c>
      <c r="V68" s="19"/>
    </row>
    <row r="69" spans="1:22" x14ac:dyDescent="0.3">
      <c r="A69" s="7"/>
      <c r="B69" s="14" t="s">
        <v>275</v>
      </c>
      <c r="C69" s="65"/>
      <c r="D69" s="65"/>
      <c r="E69" s="65"/>
      <c r="F69" s="65"/>
      <c r="G69" s="12">
        <v>5</v>
      </c>
      <c r="H69" s="15">
        <v>150</v>
      </c>
      <c r="I69" s="15">
        <v>45</v>
      </c>
      <c r="J69" s="3">
        <v>0.5</v>
      </c>
      <c r="K69" s="15">
        <f t="shared" si="0"/>
        <v>15</v>
      </c>
      <c r="L69" s="17">
        <v>1</v>
      </c>
      <c r="M69" s="15">
        <f t="shared" si="1"/>
        <v>0.5</v>
      </c>
      <c r="N69" s="15">
        <f t="shared" si="2"/>
        <v>15</v>
      </c>
      <c r="O69" s="3">
        <v>1</v>
      </c>
      <c r="P69" s="15">
        <f t="shared" si="3"/>
        <v>30</v>
      </c>
      <c r="Q69" s="17">
        <v>1</v>
      </c>
      <c r="R69" s="15">
        <f t="shared" si="4"/>
        <v>1</v>
      </c>
      <c r="S69" s="15">
        <f t="shared" si="5"/>
        <v>30</v>
      </c>
      <c r="T69" s="4">
        <f t="shared" si="6"/>
        <v>1.5</v>
      </c>
      <c r="U69" s="3">
        <f t="shared" si="7"/>
        <v>45</v>
      </c>
      <c r="V69" s="19"/>
    </row>
    <row r="70" spans="1:22" x14ac:dyDescent="0.3">
      <c r="B70" s="14" t="s">
        <v>276</v>
      </c>
      <c r="C70" s="65"/>
      <c r="D70" s="65"/>
      <c r="E70" s="65"/>
      <c r="F70" s="65"/>
      <c r="G70" s="12">
        <v>5</v>
      </c>
      <c r="H70" s="15">
        <v>150</v>
      </c>
      <c r="I70" s="15">
        <v>45</v>
      </c>
      <c r="J70" s="3">
        <v>0.5</v>
      </c>
      <c r="K70" s="15">
        <f t="shared" ref="K70:K133" si="8">J70*30</f>
        <v>15</v>
      </c>
      <c r="L70" s="17">
        <v>1</v>
      </c>
      <c r="M70" s="15">
        <f t="shared" ref="M70:M133" si="9">J70*L70</f>
        <v>0.5</v>
      </c>
      <c r="N70" s="15">
        <f t="shared" ref="N70:N133" si="10">K70*L70</f>
        <v>15</v>
      </c>
      <c r="O70" s="3">
        <v>1</v>
      </c>
      <c r="P70" s="15">
        <f t="shared" ref="P70:P133" si="11">O70*30</f>
        <v>30</v>
      </c>
      <c r="Q70" s="17">
        <v>1</v>
      </c>
      <c r="R70" s="15">
        <f t="shared" ref="R70:R133" si="12">O70*Q70</f>
        <v>1</v>
      </c>
      <c r="S70" s="15">
        <f t="shared" ref="S70:S133" si="13">P70*Q70</f>
        <v>30</v>
      </c>
      <c r="T70" s="4">
        <f t="shared" ref="T70:T133" si="14">M70+R70</f>
        <v>1.5</v>
      </c>
      <c r="U70" s="3">
        <f t="shared" ref="U70:U133" si="15">N70+S70</f>
        <v>45</v>
      </c>
      <c r="V70" s="19"/>
    </row>
    <row r="71" spans="1:22" ht="71.400000000000006" x14ac:dyDescent="0.3">
      <c r="B71" s="14" t="s">
        <v>416</v>
      </c>
      <c r="C71" s="66"/>
      <c r="D71" s="65"/>
      <c r="E71" s="65"/>
      <c r="F71" s="65"/>
      <c r="G71" s="12">
        <v>5</v>
      </c>
      <c r="H71" s="15">
        <v>150</v>
      </c>
      <c r="I71" s="15">
        <v>45</v>
      </c>
      <c r="J71" s="3">
        <v>0</v>
      </c>
      <c r="K71" s="15">
        <f t="shared" si="8"/>
        <v>0</v>
      </c>
      <c r="L71" s="17">
        <v>0</v>
      </c>
      <c r="M71" s="15">
        <f t="shared" si="9"/>
        <v>0</v>
      </c>
      <c r="N71" s="15">
        <f t="shared" si="10"/>
        <v>0</v>
      </c>
      <c r="O71" s="3">
        <v>1.5</v>
      </c>
      <c r="P71" s="15">
        <f t="shared" si="11"/>
        <v>45</v>
      </c>
      <c r="Q71" s="17">
        <v>1</v>
      </c>
      <c r="R71" s="15">
        <f t="shared" si="12"/>
        <v>1.5</v>
      </c>
      <c r="S71" s="15">
        <f t="shared" si="13"/>
        <v>45</v>
      </c>
      <c r="T71" s="4">
        <f t="shared" si="14"/>
        <v>1.5</v>
      </c>
      <c r="U71" s="3">
        <f t="shared" si="15"/>
        <v>45</v>
      </c>
      <c r="V71" s="19"/>
    </row>
    <row r="72" spans="1:22" x14ac:dyDescent="0.3">
      <c r="B72" s="62" t="s">
        <v>282</v>
      </c>
      <c r="C72" s="13" t="s">
        <v>17</v>
      </c>
      <c r="D72" s="64">
        <v>114</v>
      </c>
      <c r="E72" s="64">
        <v>14</v>
      </c>
      <c r="F72" s="64" t="s">
        <v>281</v>
      </c>
      <c r="G72" s="64">
        <v>4</v>
      </c>
      <c r="H72" s="15">
        <v>120</v>
      </c>
      <c r="I72" s="15">
        <v>45</v>
      </c>
      <c r="J72" s="3">
        <v>0</v>
      </c>
      <c r="K72" s="15">
        <f t="shared" si="8"/>
        <v>0</v>
      </c>
      <c r="L72" s="17">
        <v>0</v>
      </c>
      <c r="M72" s="15">
        <f t="shared" si="9"/>
        <v>0</v>
      </c>
      <c r="N72" s="15">
        <f t="shared" si="10"/>
        <v>0</v>
      </c>
      <c r="O72" s="3">
        <v>1.5</v>
      </c>
      <c r="P72" s="15">
        <f t="shared" si="11"/>
        <v>45</v>
      </c>
      <c r="Q72" s="17">
        <v>5</v>
      </c>
      <c r="R72" s="15">
        <f t="shared" si="12"/>
        <v>7.5</v>
      </c>
      <c r="S72" s="15">
        <f t="shared" si="13"/>
        <v>225</v>
      </c>
      <c r="T72" s="4">
        <f t="shared" si="14"/>
        <v>7.5</v>
      </c>
      <c r="U72" s="3">
        <f t="shared" si="15"/>
        <v>225</v>
      </c>
      <c r="V72" s="19"/>
    </row>
    <row r="73" spans="1:22" x14ac:dyDescent="0.3">
      <c r="B73" s="63"/>
      <c r="C73" s="13" t="s">
        <v>18</v>
      </c>
      <c r="D73" s="65"/>
      <c r="E73" s="65"/>
      <c r="F73" s="65"/>
      <c r="G73" s="66"/>
      <c r="H73" s="15">
        <v>120</v>
      </c>
      <c r="I73" s="15">
        <v>45</v>
      </c>
      <c r="J73" s="3">
        <v>0</v>
      </c>
      <c r="K73" s="15">
        <f t="shared" si="8"/>
        <v>0</v>
      </c>
      <c r="L73" s="17">
        <v>0</v>
      </c>
      <c r="M73" s="15">
        <f t="shared" si="9"/>
        <v>0</v>
      </c>
      <c r="N73" s="15">
        <f t="shared" si="10"/>
        <v>0</v>
      </c>
      <c r="O73" s="3">
        <v>1.5</v>
      </c>
      <c r="P73" s="15">
        <f t="shared" si="11"/>
        <v>45</v>
      </c>
      <c r="Q73" s="17">
        <v>1</v>
      </c>
      <c r="R73" s="15">
        <f t="shared" si="12"/>
        <v>1.5</v>
      </c>
      <c r="S73" s="15">
        <f t="shared" si="13"/>
        <v>45</v>
      </c>
      <c r="T73" s="4">
        <f t="shared" si="14"/>
        <v>1.5</v>
      </c>
      <c r="U73" s="3">
        <f t="shared" si="15"/>
        <v>45</v>
      </c>
      <c r="V73" s="19"/>
    </row>
    <row r="74" spans="1:22" x14ac:dyDescent="0.3">
      <c r="B74" s="62" t="s">
        <v>283</v>
      </c>
      <c r="C74" s="13" t="s">
        <v>17</v>
      </c>
      <c r="D74" s="65"/>
      <c r="E74" s="65"/>
      <c r="F74" s="65"/>
      <c r="G74" s="64">
        <v>4</v>
      </c>
      <c r="H74" s="15">
        <v>120</v>
      </c>
      <c r="I74" s="15">
        <v>45</v>
      </c>
      <c r="J74" s="3">
        <v>0</v>
      </c>
      <c r="K74" s="15">
        <f t="shared" si="8"/>
        <v>0</v>
      </c>
      <c r="L74" s="17">
        <v>0</v>
      </c>
      <c r="M74" s="15">
        <f t="shared" si="9"/>
        <v>0</v>
      </c>
      <c r="N74" s="15">
        <f t="shared" si="10"/>
        <v>0</v>
      </c>
      <c r="O74" s="3">
        <v>1.5</v>
      </c>
      <c r="P74" s="15">
        <f t="shared" si="11"/>
        <v>45</v>
      </c>
      <c r="Q74" s="17">
        <v>5</v>
      </c>
      <c r="R74" s="15">
        <f t="shared" si="12"/>
        <v>7.5</v>
      </c>
      <c r="S74" s="15">
        <f t="shared" si="13"/>
        <v>225</v>
      </c>
      <c r="T74" s="4">
        <f t="shared" si="14"/>
        <v>7.5</v>
      </c>
      <c r="U74" s="3">
        <f t="shared" si="15"/>
        <v>225</v>
      </c>
      <c r="V74" s="19"/>
    </row>
    <row r="75" spans="1:22" x14ac:dyDescent="0.3">
      <c r="B75" s="63"/>
      <c r="C75" s="13" t="s">
        <v>18</v>
      </c>
      <c r="D75" s="65"/>
      <c r="E75" s="65"/>
      <c r="F75" s="65"/>
      <c r="G75" s="66"/>
      <c r="H75" s="15">
        <v>120</v>
      </c>
      <c r="I75" s="15">
        <v>45</v>
      </c>
      <c r="J75" s="3">
        <v>0</v>
      </c>
      <c r="K75" s="15">
        <f t="shared" si="8"/>
        <v>0</v>
      </c>
      <c r="L75" s="17">
        <v>0</v>
      </c>
      <c r="M75" s="15">
        <f t="shared" si="9"/>
        <v>0</v>
      </c>
      <c r="N75" s="15">
        <f t="shared" si="10"/>
        <v>0</v>
      </c>
      <c r="O75" s="3">
        <v>1.5</v>
      </c>
      <c r="P75" s="15">
        <f t="shared" si="11"/>
        <v>45</v>
      </c>
      <c r="Q75" s="17">
        <v>1</v>
      </c>
      <c r="R75" s="15">
        <f t="shared" si="12"/>
        <v>1.5</v>
      </c>
      <c r="S75" s="15">
        <f t="shared" si="13"/>
        <v>45</v>
      </c>
      <c r="T75" s="4">
        <f t="shared" si="14"/>
        <v>1.5</v>
      </c>
      <c r="U75" s="3">
        <f t="shared" si="15"/>
        <v>45</v>
      </c>
      <c r="V75" s="19"/>
    </row>
    <row r="76" spans="1:22" x14ac:dyDescent="0.35">
      <c r="A76" s="8"/>
      <c r="B76" s="62" t="s">
        <v>284</v>
      </c>
      <c r="C76" s="13" t="s">
        <v>17</v>
      </c>
      <c r="D76" s="65"/>
      <c r="E76" s="65"/>
      <c r="F76" s="65"/>
      <c r="G76" s="87">
        <v>4</v>
      </c>
      <c r="H76" s="15">
        <v>120</v>
      </c>
      <c r="I76" s="15">
        <v>45</v>
      </c>
      <c r="J76" s="3">
        <v>0</v>
      </c>
      <c r="K76" s="15">
        <f t="shared" si="8"/>
        <v>0</v>
      </c>
      <c r="L76" s="17">
        <v>0</v>
      </c>
      <c r="M76" s="15">
        <f t="shared" si="9"/>
        <v>0</v>
      </c>
      <c r="N76" s="15">
        <f t="shared" si="10"/>
        <v>0</v>
      </c>
      <c r="O76" s="3">
        <v>1.5</v>
      </c>
      <c r="P76" s="15">
        <f t="shared" si="11"/>
        <v>45</v>
      </c>
      <c r="Q76" s="17">
        <v>5</v>
      </c>
      <c r="R76" s="15">
        <f t="shared" si="12"/>
        <v>7.5</v>
      </c>
      <c r="S76" s="15">
        <f t="shared" si="13"/>
        <v>225</v>
      </c>
      <c r="T76" s="4">
        <f t="shared" si="14"/>
        <v>7.5</v>
      </c>
      <c r="U76" s="3">
        <f t="shared" si="15"/>
        <v>225</v>
      </c>
      <c r="V76" s="10"/>
    </row>
    <row r="77" spans="1:22" x14ac:dyDescent="0.35">
      <c r="A77" s="8"/>
      <c r="B77" s="63"/>
      <c r="C77" s="13" t="s">
        <v>18</v>
      </c>
      <c r="D77" s="65"/>
      <c r="E77" s="65"/>
      <c r="F77" s="65"/>
      <c r="G77" s="88"/>
      <c r="H77" s="15">
        <v>120</v>
      </c>
      <c r="I77" s="15">
        <v>45</v>
      </c>
      <c r="J77" s="3">
        <v>0</v>
      </c>
      <c r="K77" s="15">
        <f t="shared" si="8"/>
        <v>0</v>
      </c>
      <c r="L77" s="17">
        <v>0</v>
      </c>
      <c r="M77" s="15">
        <f t="shared" si="9"/>
        <v>0</v>
      </c>
      <c r="N77" s="15">
        <f t="shared" si="10"/>
        <v>0</v>
      </c>
      <c r="O77" s="3">
        <v>1.5</v>
      </c>
      <c r="P77" s="15">
        <f t="shared" si="11"/>
        <v>45</v>
      </c>
      <c r="Q77" s="17">
        <v>1</v>
      </c>
      <c r="R77" s="15">
        <f t="shared" si="12"/>
        <v>1.5</v>
      </c>
      <c r="S77" s="15">
        <f t="shared" si="13"/>
        <v>45</v>
      </c>
      <c r="T77" s="4">
        <f t="shared" si="14"/>
        <v>1.5</v>
      </c>
      <c r="U77" s="3">
        <f t="shared" si="15"/>
        <v>45</v>
      </c>
      <c r="V77" s="20"/>
    </row>
    <row r="78" spans="1:22" ht="27" customHeight="1" x14ac:dyDescent="0.35">
      <c r="A78" s="8"/>
      <c r="B78" s="62" t="s">
        <v>285</v>
      </c>
      <c r="C78" s="13" t="s">
        <v>17</v>
      </c>
      <c r="D78" s="65"/>
      <c r="E78" s="65"/>
      <c r="F78" s="65"/>
      <c r="G78" s="87">
        <v>4</v>
      </c>
      <c r="H78" s="15">
        <v>120</v>
      </c>
      <c r="I78" s="15">
        <v>45</v>
      </c>
      <c r="J78" s="3">
        <v>0.5</v>
      </c>
      <c r="K78" s="15">
        <f t="shared" si="8"/>
        <v>15</v>
      </c>
      <c r="L78" s="9">
        <v>2</v>
      </c>
      <c r="M78" s="15">
        <f t="shared" si="9"/>
        <v>1</v>
      </c>
      <c r="N78" s="15">
        <f t="shared" si="10"/>
        <v>30</v>
      </c>
      <c r="O78" s="3">
        <v>1</v>
      </c>
      <c r="P78" s="15">
        <f t="shared" si="11"/>
        <v>30</v>
      </c>
      <c r="Q78" s="17">
        <v>5</v>
      </c>
      <c r="R78" s="15">
        <f t="shared" si="12"/>
        <v>5</v>
      </c>
      <c r="S78" s="15">
        <f t="shared" si="13"/>
        <v>150</v>
      </c>
      <c r="T78" s="4">
        <f t="shared" si="14"/>
        <v>6</v>
      </c>
      <c r="U78" s="3">
        <f t="shared" si="15"/>
        <v>180</v>
      </c>
      <c r="V78" s="10"/>
    </row>
    <row r="79" spans="1:22" ht="27" customHeight="1" x14ac:dyDescent="0.35">
      <c r="A79" s="8"/>
      <c r="B79" s="63"/>
      <c r="C79" s="13" t="s">
        <v>18</v>
      </c>
      <c r="D79" s="65"/>
      <c r="E79" s="65"/>
      <c r="F79" s="65"/>
      <c r="G79" s="88"/>
      <c r="H79" s="15">
        <v>120</v>
      </c>
      <c r="I79" s="15">
        <v>45</v>
      </c>
      <c r="J79" s="3">
        <v>0.5</v>
      </c>
      <c r="K79" s="15">
        <f t="shared" si="8"/>
        <v>15</v>
      </c>
      <c r="L79" s="9">
        <v>1</v>
      </c>
      <c r="M79" s="15">
        <f t="shared" si="9"/>
        <v>0.5</v>
      </c>
      <c r="N79" s="15">
        <f t="shared" si="10"/>
        <v>15</v>
      </c>
      <c r="O79" s="3">
        <v>1</v>
      </c>
      <c r="P79" s="15">
        <f t="shared" si="11"/>
        <v>30</v>
      </c>
      <c r="Q79" s="17">
        <v>1</v>
      </c>
      <c r="R79" s="15">
        <f t="shared" si="12"/>
        <v>1</v>
      </c>
      <c r="S79" s="15">
        <f t="shared" si="13"/>
        <v>30</v>
      </c>
      <c r="T79" s="4">
        <f t="shared" si="14"/>
        <v>1.5</v>
      </c>
      <c r="U79" s="3">
        <f t="shared" si="15"/>
        <v>45</v>
      </c>
      <c r="V79" s="20"/>
    </row>
    <row r="80" spans="1:22" x14ac:dyDescent="0.3">
      <c r="A80" s="7"/>
      <c r="B80" s="62" t="s">
        <v>286</v>
      </c>
      <c r="C80" s="13" t="s">
        <v>17</v>
      </c>
      <c r="D80" s="65"/>
      <c r="E80" s="65"/>
      <c r="F80" s="65"/>
      <c r="G80" s="64">
        <v>4</v>
      </c>
      <c r="H80" s="15">
        <v>120</v>
      </c>
      <c r="I80" s="15">
        <v>45</v>
      </c>
      <c r="J80" s="3">
        <v>0.5</v>
      </c>
      <c r="K80" s="15">
        <f t="shared" si="8"/>
        <v>15</v>
      </c>
      <c r="L80" s="17">
        <v>2</v>
      </c>
      <c r="M80" s="15">
        <f t="shared" si="9"/>
        <v>1</v>
      </c>
      <c r="N80" s="15">
        <f t="shared" si="10"/>
        <v>30</v>
      </c>
      <c r="O80" s="3">
        <v>1</v>
      </c>
      <c r="P80" s="15">
        <f t="shared" si="11"/>
        <v>30</v>
      </c>
      <c r="Q80" s="17">
        <v>5</v>
      </c>
      <c r="R80" s="15">
        <f t="shared" si="12"/>
        <v>5</v>
      </c>
      <c r="S80" s="15">
        <f t="shared" si="13"/>
        <v>150</v>
      </c>
      <c r="T80" s="4">
        <f t="shared" si="14"/>
        <v>6</v>
      </c>
      <c r="U80" s="3">
        <f t="shared" si="15"/>
        <v>180</v>
      </c>
      <c r="V80" s="19"/>
    </row>
    <row r="81" spans="1:23" x14ac:dyDescent="0.3">
      <c r="A81" s="7"/>
      <c r="B81" s="63"/>
      <c r="C81" s="13" t="s">
        <v>18</v>
      </c>
      <c r="D81" s="66"/>
      <c r="E81" s="66"/>
      <c r="F81" s="66"/>
      <c r="G81" s="66"/>
      <c r="H81" s="15">
        <v>120</v>
      </c>
      <c r="I81" s="15">
        <v>45</v>
      </c>
      <c r="J81" s="3">
        <v>0.5</v>
      </c>
      <c r="K81" s="15">
        <f t="shared" si="8"/>
        <v>15</v>
      </c>
      <c r="L81" s="17">
        <v>1</v>
      </c>
      <c r="M81" s="15">
        <f t="shared" si="9"/>
        <v>0.5</v>
      </c>
      <c r="N81" s="15">
        <f t="shared" si="10"/>
        <v>15</v>
      </c>
      <c r="O81" s="3">
        <v>1</v>
      </c>
      <c r="P81" s="15">
        <f t="shared" si="11"/>
        <v>30</v>
      </c>
      <c r="Q81" s="17">
        <v>1</v>
      </c>
      <c r="R81" s="15">
        <f t="shared" si="12"/>
        <v>1</v>
      </c>
      <c r="S81" s="15">
        <f t="shared" si="13"/>
        <v>30</v>
      </c>
      <c r="T81" s="4">
        <f t="shared" si="14"/>
        <v>1.5</v>
      </c>
      <c r="U81" s="3">
        <f t="shared" si="15"/>
        <v>45</v>
      </c>
      <c r="V81" s="19"/>
    </row>
    <row r="82" spans="1:23" x14ac:dyDescent="0.3">
      <c r="A82" s="7"/>
      <c r="B82" s="14" t="s">
        <v>291</v>
      </c>
      <c r="C82" s="64" t="s">
        <v>17</v>
      </c>
      <c r="D82" s="64">
        <v>29</v>
      </c>
      <c r="E82" s="64"/>
      <c r="F82" s="64" t="s">
        <v>22</v>
      </c>
      <c r="G82" s="12">
        <v>4</v>
      </c>
      <c r="H82" s="15">
        <v>120</v>
      </c>
      <c r="I82" s="15">
        <v>45</v>
      </c>
      <c r="J82" s="3">
        <v>0.5</v>
      </c>
      <c r="K82" s="15">
        <f t="shared" si="8"/>
        <v>15</v>
      </c>
      <c r="L82" s="17">
        <v>1</v>
      </c>
      <c r="M82" s="15">
        <f t="shared" si="9"/>
        <v>0.5</v>
      </c>
      <c r="N82" s="15">
        <f t="shared" si="10"/>
        <v>15</v>
      </c>
      <c r="O82" s="3">
        <v>1</v>
      </c>
      <c r="P82" s="15">
        <f t="shared" si="11"/>
        <v>30</v>
      </c>
      <c r="Q82" s="17">
        <v>2</v>
      </c>
      <c r="R82" s="15">
        <f t="shared" si="12"/>
        <v>2</v>
      </c>
      <c r="S82" s="15">
        <f t="shared" si="13"/>
        <v>60</v>
      </c>
      <c r="T82" s="4">
        <f t="shared" si="14"/>
        <v>2.5</v>
      </c>
      <c r="U82" s="3">
        <f t="shared" si="15"/>
        <v>75</v>
      </c>
      <c r="V82" s="19" t="s">
        <v>581</v>
      </c>
    </row>
    <row r="83" spans="1:23" ht="36" x14ac:dyDescent="0.3">
      <c r="A83" s="7"/>
      <c r="B83" s="14" t="s">
        <v>292</v>
      </c>
      <c r="C83" s="65"/>
      <c r="D83" s="65"/>
      <c r="E83" s="65"/>
      <c r="F83" s="65"/>
      <c r="G83" s="12">
        <v>4</v>
      </c>
      <c r="H83" s="15">
        <v>120</v>
      </c>
      <c r="I83" s="15">
        <v>45</v>
      </c>
      <c r="J83" s="3">
        <v>0.5</v>
      </c>
      <c r="K83" s="15">
        <f t="shared" si="8"/>
        <v>15</v>
      </c>
      <c r="L83" s="17">
        <v>1</v>
      </c>
      <c r="M83" s="15">
        <f t="shared" si="9"/>
        <v>0.5</v>
      </c>
      <c r="N83" s="15">
        <f t="shared" si="10"/>
        <v>15</v>
      </c>
      <c r="O83" s="3">
        <v>1</v>
      </c>
      <c r="P83" s="15">
        <f t="shared" si="11"/>
        <v>30</v>
      </c>
      <c r="Q83" s="17">
        <v>2</v>
      </c>
      <c r="R83" s="15">
        <f t="shared" si="12"/>
        <v>2</v>
      </c>
      <c r="S83" s="15">
        <f t="shared" si="13"/>
        <v>60</v>
      </c>
      <c r="T83" s="4">
        <f t="shared" si="14"/>
        <v>2.5</v>
      </c>
      <c r="U83" s="3">
        <f t="shared" si="15"/>
        <v>75</v>
      </c>
      <c r="V83" s="19" t="s">
        <v>590</v>
      </c>
    </row>
    <row r="84" spans="1:23" x14ac:dyDescent="0.3">
      <c r="A84" s="7"/>
      <c r="B84" s="14" t="s">
        <v>293</v>
      </c>
      <c r="C84" s="65"/>
      <c r="D84" s="65"/>
      <c r="E84" s="65"/>
      <c r="F84" s="65"/>
      <c r="G84" s="12">
        <v>6</v>
      </c>
      <c r="H84" s="15">
        <v>180</v>
      </c>
      <c r="I84" s="15">
        <v>60</v>
      </c>
      <c r="J84" s="3">
        <v>1</v>
      </c>
      <c r="K84" s="15">
        <f t="shared" si="8"/>
        <v>30</v>
      </c>
      <c r="L84" s="17">
        <v>1</v>
      </c>
      <c r="M84" s="15">
        <f t="shared" si="9"/>
        <v>1</v>
      </c>
      <c r="N84" s="15">
        <f t="shared" si="10"/>
        <v>30</v>
      </c>
      <c r="O84" s="3">
        <v>1</v>
      </c>
      <c r="P84" s="15">
        <f t="shared" si="11"/>
        <v>30</v>
      </c>
      <c r="Q84" s="17">
        <v>2</v>
      </c>
      <c r="R84" s="15">
        <f t="shared" si="12"/>
        <v>2</v>
      </c>
      <c r="S84" s="15">
        <f t="shared" si="13"/>
        <v>60</v>
      </c>
      <c r="T84" s="4">
        <f t="shared" si="14"/>
        <v>3</v>
      </c>
      <c r="U84" s="3">
        <f t="shared" si="15"/>
        <v>90</v>
      </c>
      <c r="V84" s="19" t="s">
        <v>580</v>
      </c>
    </row>
    <row r="85" spans="1:23" ht="54" x14ac:dyDescent="0.3">
      <c r="A85" s="7"/>
      <c r="B85" s="14" t="s">
        <v>294</v>
      </c>
      <c r="C85" s="66"/>
      <c r="D85" s="65"/>
      <c r="E85" s="65"/>
      <c r="F85" s="65"/>
      <c r="G85" s="12">
        <v>6</v>
      </c>
      <c r="H85" s="15">
        <v>180</v>
      </c>
      <c r="I85" s="15">
        <v>60</v>
      </c>
      <c r="J85" s="3">
        <v>0</v>
      </c>
      <c r="K85" s="15">
        <f t="shared" si="8"/>
        <v>0</v>
      </c>
      <c r="L85" s="17">
        <v>0</v>
      </c>
      <c r="M85" s="15">
        <f t="shared" si="9"/>
        <v>0</v>
      </c>
      <c r="N85" s="15">
        <f t="shared" si="10"/>
        <v>0</v>
      </c>
      <c r="O85" s="3">
        <v>2</v>
      </c>
      <c r="P85" s="15">
        <f t="shared" si="11"/>
        <v>60</v>
      </c>
      <c r="Q85" s="17">
        <v>2</v>
      </c>
      <c r="R85" s="15">
        <f t="shared" si="12"/>
        <v>4</v>
      </c>
      <c r="S85" s="15">
        <f t="shared" si="13"/>
        <v>120</v>
      </c>
      <c r="T85" s="4">
        <f t="shared" si="14"/>
        <v>4</v>
      </c>
      <c r="U85" s="3">
        <f t="shared" si="15"/>
        <v>120</v>
      </c>
      <c r="V85" s="53" t="s">
        <v>590</v>
      </c>
    </row>
    <row r="86" spans="1:23" x14ac:dyDescent="0.3">
      <c r="A86" s="7"/>
      <c r="B86" s="62" t="s">
        <v>175</v>
      </c>
      <c r="C86" s="13" t="s">
        <v>17</v>
      </c>
      <c r="D86" s="64">
        <v>60</v>
      </c>
      <c r="E86" s="64">
        <v>12</v>
      </c>
      <c r="F86" s="64" t="s">
        <v>23</v>
      </c>
      <c r="G86" s="64">
        <v>5</v>
      </c>
      <c r="H86" s="15">
        <v>150</v>
      </c>
      <c r="I86" s="15">
        <v>45</v>
      </c>
      <c r="J86" s="3">
        <v>0.5</v>
      </c>
      <c r="K86" s="15">
        <f t="shared" si="8"/>
        <v>15</v>
      </c>
      <c r="L86" s="17">
        <v>1</v>
      </c>
      <c r="M86" s="15">
        <f t="shared" si="9"/>
        <v>0.5</v>
      </c>
      <c r="N86" s="15">
        <f t="shared" si="10"/>
        <v>15</v>
      </c>
      <c r="O86" s="3">
        <v>1</v>
      </c>
      <c r="P86" s="15">
        <f t="shared" si="11"/>
        <v>30</v>
      </c>
      <c r="Q86" s="9">
        <v>3</v>
      </c>
      <c r="R86" s="15">
        <f t="shared" si="12"/>
        <v>3</v>
      </c>
      <c r="S86" s="15">
        <f t="shared" si="13"/>
        <v>90</v>
      </c>
      <c r="T86" s="4">
        <f t="shared" si="14"/>
        <v>3.5</v>
      </c>
      <c r="U86" s="3">
        <f t="shared" si="15"/>
        <v>105</v>
      </c>
      <c r="V86" s="19" t="s">
        <v>599</v>
      </c>
      <c r="W86">
        <v>3.5</v>
      </c>
    </row>
    <row r="87" spans="1:23" x14ac:dyDescent="0.3">
      <c r="A87" s="7"/>
      <c r="B87" s="63"/>
      <c r="C87" s="13" t="s">
        <v>18</v>
      </c>
      <c r="D87" s="65"/>
      <c r="E87" s="65"/>
      <c r="F87" s="65"/>
      <c r="G87" s="66"/>
      <c r="H87" s="15">
        <v>150</v>
      </c>
      <c r="I87" s="15">
        <v>45</v>
      </c>
      <c r="J87" s="3">
        <v>0.5</v>
      </c>
      <c r="K87" s="15">
        <f t="shared" si="8"/>
        <v>15</v>
      </c>
      <c r="L87" s="17">
        <v>1</v>
      </c>
      <c r="M87" s="15">
        <f t="shared" si="9"/>
        <v>0.5</v>
      </c>
      <c r="N87" s="15">
        <f t="shared" si="10"/>
        <v>15</v>
      </c>
      <c r="O87" s="3">
        <v>1</v>
      </c>
      <c r="P87" s="15">
        <f t="shared" si="11"/>
        <v>30</v>
      </c>
      <c r="Q87" s="9">
        <v>1</v>
      </c>
      <c r="R87" s="15">
        <f t="shared" si="12"/>
        <v>1</v>
      </c>
      <c r="S87" s="15">
        <f t="shared" si="13"/>
        <v>30</v>
      </c>
      <c r="T87" s="4">
        <f t="shared" si="14"/>
        <v>1.5</v>
      </c>
      <c r="U87" s="3">
        <f t="shared" si="15"/>
        <v>45</v>
      </c>
      <c r="V87" s="19" t="s">
        <v>599</v>
      </c>
      <c r="W87">
        <v>1.5</v>
      </c>
    </row>
    <row r="88" spans="1:23" x14ac:dyDescent="0.3">
      <c r="A88" s="7"/>
      <c r="B88" s="62" t="s">
        <v>176</v>
      </c>
      <c r="C88" s="13" t="s">
        <v>17</v>
      </c>
      <c r="D88" s="65"/>
      <c r="E88" s="65"/>
      <c r="F88" s="65"/>
      <c r="G88" s="64">
        <v>5</v>
      </c>
      <c r="H88" s="15">
        <v>150</v>
      </c>
      <c r="I88" s="15">
        <v>45</v>
      </c>
      <c r="J88" s="3">
        <v>0.5</v>
      </c>
      <c r="K88" s="15">
        <f t="shared" si="8"/>
        <v>15</v>
      </c>
      <c r="L88" s="17">
        <v>1</v>
      </c>
      <c r="M88" s="15">
        <f t="shared" si="9"/>
        <v>0.5</v>
      </c>
      <c r="N88" s="15">
        <f t="shared" si="10"/>
        <v>15</v>
      </c>
      <c r="O88" s="3">
        <v>1</v>
      </c>
      <c r="P88" s="15">
        <f t="shared" si="11"/>
        <v>30</v>
      </c>
      <c r="Q88" s="9">
        <v>3</v>
      </c>
      <c r="R88" s="15">
        <f t="shared" si="12"/>
        <v>3</v>
      </c>
      <c r="S88" s="15">
        <f t="shared" si="13"/>
        <v>90</v>
      </c>
      <c r="T88" s="4">
        <f t="shared" si="14"/>
        <v>3.5</v>
      </c>
      <c r="U88" s="3">
        <f t="shared" si="15"/>
        <v>105</v>
      </c>
      <c r="V88" s="19" t="s">
        <v>598</v>
      </c>
      <c r="W88">
        <v>3.5</v>
      </c>
    </row>
    <row r="89" spans="1:23" x14ac:dyDescent="0.3">
      <c r="A89" s="7"/>
      <c r="B89" s="63"/>
      <c r="C89" s="13" t="s">
        <v>18</v>
      </c>
      <c r="D89" s="65"/>
      <c r="E89" s="65"/>
      <c r="F89" s="65"/>
      <c r="G89" s="66"/>
      <c r="H89" s="15">
        <v>150</v>
      </c>
      <c r="I89" s="15">
        <v>45</v>
      </c>
      <c r="J89" s="3">
        <v>0.5</v>
      </c>
      <c r="K89" s="15">
        <f t="shared" si="8"/>
        <v>15</v>
      </c>
      <c r="L89" s="17">
        <v>1</v>
      </c>
      <c r="M89" s="15">
        <f t="shared" si="9"/>
        <v>0.5</v>
      </c>
      <c r="N89" s="15">
        <f t="shared" si="10"/>
        <v>15</v>
      </c>
      <c r="O89" s="3">
        <v>1</v>
      </c>
      <c r="P89" s="15">
        <f t="shared" si="11"/>
        <v>30</v>
      </c>
      <c r="Q89" s="9">
        <v>1</v>
      </c>
      <c r="R89" s="15">
        <f t="shared" si="12"/>
        <v>1</v>
      </c>
      <c r="S89" s="15">
        <f t="shared" si="13"/>
        <v>30</v>
      </c>
      <c r="T89" s="4">
        <f t="shared" si="14"/>
        <v>1.5</v>
      </c>
      <c r="U89" s="3">
        <f t="shared" si="15"/>
        <v>45</v>
      </c>
      <c r="V89" s="19" t="s">
        <v>593</v>
      </c>
      <c r="W89">
        <v>1.5</v>
      </c>
    </row>
    <row r="90" spans="1:23" ht="37.200000000000003" customHeight="1" x14ac:dyDescent="0.3">
      <c r="A90" s="7"/>
      <c r="B90" s="62" t="s">
        <v>295</v>
      </c>
      <c r="C90" s="13" t="s">
        <v>17</v>
      </c>
      <c r="D90" s="65"/>
      <c r="E90" s="65"/>
      <c r="F90" s="65"/>
      <c r="G90" s="64">
        <v>5</v>
      </c>
      <c r="H90" s="15">
        <v>150</v>
      </c>
      <c r="I90" s="15">
        <v>45</v>
      </c>
      <c r="J90" s="3">
        <v>0.5</v>
      </c>
      <c r="K90" s="15">
        <f t="shared" si="8"/>
        <v>15</v>
      </c>
      <c r="L90" s="17">
        <v>1</v>
      </c>
      <c r="M90" s="15">
        <f t="shared" si="9"/>
        <v>0.5</v>
      </c>
      <c r="N90" s="15">
        <f t="shared" si="10"/>
        <v>15</v>
      </c>
      <c r="O90" s="3">
        <v>1</v>
      </c>
      <c r="P90" s="15">
        <f t="shared" si="11"/>
        <v>30</v>
      </c>
      <c r="Q90" s="9">
        <v>3</v>
      </c>
      <c r="R90" s="15">
        <f t="shared" si="12"/>
        <v>3</v>
      </c>
      <c r="S90" s="15">
        <f t="shared" si="13"/>
        <v>90</v>
      </c>
      <c r="T90" s="4">
        <f t="shared" si="14"/>
        <v>3.5</v>
      </c>
      <c r="U90" s="3">
        <f t="shared" si="15"/>
        <v>105</v>
      </c>
      <c r="V90" s="19"/>
    </row>
    <row r="91" spans="1:23" ht="36.6" customHeight="1" x14ac:dyDescent="0.3">
      <c r="A91" s="7"/>
      <c r="B91" s="63"/>
      <c r="C91" s="13" t="s">
        <v>18</v>
      </c>
      <c r="D91" s="65"/>
      <c r="E91" s="65"/>
      <c r="F91" s="65"/>
      <c r="G91" s="66"/>
      <c r="H91" s="15">
        <v>150</v>
      </c>
      <c r="I91" s="15">
        <v>45</v>
      </c>
      <c r="J91" s="3">
        <v>0.5</v>
      </c>
      <c r="K91" s="15">
        <f t="shared" si="8"/>
        <v>15</v>
      </c>
      <c r="L91" s="17">
        <v>1</v>
      </c>
      <c r="M91" s="15">
        <f t="shared" si="9"/>
        <v>0.5</v>
      </c>
      <c r="N91" s="15">
        <f t="shared" si="10"/>
        <v>15</v>
      </c>
      <c r="O91" s="3">
        <v>1</v>
      </c>
      <c r="P91" s="15">
        <f t="shared" si="11"/>
        <v>30</v>
      </c>
      <c r="Q91" s="9">
        <v>1</v>
      </c>
      <c r="R91" s="15">
        <f t="shared" si="12"/>
        <v>1</v>
      </c>
      <c r="S91" s="15">
        <f t="shared" si="13"/>
        <v>30</v>
      </c>
      <c r="T91" s="4">
        <f t="shared" si="14"/>
        <v>1.5</v>
      </c>
      <c r="U91" s="3">
        <f t="shared" si="15"/>
        <v>45</v>
      </c>
      <c r="V91" s="19"/>
    </row>
    <row r="92" spans="1:23" ht="28.95" customHeight="1" x14ac:dyDescent="0.3">
      <c r="B92" s="62" t="s">
        <v>603</v>
      </c>
      <c r="C92" s="13" t="s">
        <v>17</v>
      </c>
      <c r="D92" s="65"/>
      <c r="E92" s="65"/>
      <c r="F92" s="65"/>
      <c r="G92" s="64">
        <v>5</v>
      </c>
      <c r="H92" s="15">
        <v>150</v>
      </c>
      <c r="I92" s="15">
        <v>45</v>
      </c>
      <c r="J92" s="3">
        <v>0.5</v>
      </c>
      <c r="K92" s="15">
        <f t="shared" si="8"/>
        <v>15</v>
      </c>
      <c r="L92" s="17">
        <v>1</v>
      </c>
      <c r="M92" s="15">
        <f t="shared" si="9"/>
        <v>0.5</v>
      </c>
      <c r="N92" s="15">
        <f t="shared" si="10"/>
        <v>15</v>
      </c>
      <c r="O92" s="3">
        <v>1</v>
      </c>
      <c r="P92" s="15">
        <f t="shared" si="11"/>
        <v>30</v>
      </c>
      <c r="Q92" s="9">
        <v>3</v>
      </c>
      <c r="R92" s="15">
        <f t="shared" si="12"/>
        <v>3</v>
      </c>
      <c r="S92" s="15">
        <f t="shared" si="13"/>
        <v>90</v>
      </c>
      <c r="T92" s="4">
        <f t="shared" si="14"/>
        <v>3.5</v>
      </c>
      <c r="U92" s="3">
        <f t="shared" si="15"/>
        <v>105</v>
      </c>
      <c r="V92" s="19" t="s">
        <v>622</v>
      </c>
      <c r="W92">
        <v>3.5</v>
      </c>
    </row>
    <row r="93" spans="1:23" ht="27.6" customHeight="1" x14ac:dyDescent="0.3">
      <c r="B93" s="63"/>
      <c r="C93" s="13" t="s">
        <v>18</v>
      </c>
      <c r="D93" s="66"/>
      <c r="E93" s="66"/>
      <c r="F93" s="66"/>
      <c r="G93" s="66"/>
      <c r="H93" s="15">
        <v>150</v>
      </c>
      <c r="I93" s="15">
        <v>45</v>
      </c>
      <c r="J93" s="3">
        <v>0.5</v>
      </c>
      <c r="K93" s="15">
        <f t="shared" si="8"/>
        <v>15</v>
      </c>
      <c r="L93" s="17">
        <v>1</v>
      </c>
      <c r="M93" s="15">
        <f t="shared" si="9"/>
        <v>0.5</v>
      </c>
      <c r="N93" s="15">
        <f t="shared" si="10"/>
        <v>15</v>
      </c>
      <c r="O93" s="3">
        <v>1</v>
      </c>
      <c r="P93" s="15">
        <f t="shared" si="11"/>
        <v>30</v>
      </c>
      <c r="Q93" s="9">
        <v>1</v>
      </c>
      <c r="R93" s="15">
        <f t="shared" si="12"/>
        <v>1</v>
      </c>
      <c r="S93" s="15">
        <f t="shared" si="13"/>
        <v>30</v>
      </c>
      <c r="T93" s="4">
        <f t="shared" si="14"/>
        <v>1.5</v>
      </c>
      <c r="U93" s="3">
        <f t="shared" si="15"/>
        <v>45</v>
      </c>
      <c r="V93" s="19" t="s">
        <v>596</v>
      </c>
      <c r="W93">
        <v>1.5</v>
      </c>
    </row>
    <row r="94" spans="1:23" x14ac:dyDescent="0.3">
      <c r="B94" s="62" t="s">
        <v>300</v>
      </c>
      <c r="C94" s="13" t="s">
        <v>17</v>
      </c>
      <c r="D94" s="64">
        <v>81</v>
      </c>
      <c r="E94" s="64">
        <v>9</v>
      </c>
      <c r="F94" s="64" t="s">
        <v>24</v>
      </c>
      <c r="G94" s="64">
        <v>6</v>
      </c>
      <c r="H94" s="15">
        <v>180</v>
      </c>
      <c r="I94" s="15">
        <v>60</v>
      </c>
      <c r="J94" s="3">
        <v>1</v>
      </c>
      <c r="K94" s="15">
        <f t="shared" si="8"/>
        <v>30</v>
      </c>
      <c r="L94" s="17">
        <v>1</v>
      </c>
      <c r="M94" s="15">
        <f t="shared" si="9"/>
        <v>1</v>
      </c>
      <c r="N94" s="15">
        <f t="shared" si="10"/>
        <v>30</v>
      </c>
      <c r="O94" s="3">
        <v>1</v>
      </c>
      <c r="P94" s="15">
        <f t="shared" si="11"/>
        <v>30</v>
      </c>
      <c r="Q94" s="17">
        <v>6</v>
      </c>
      <c r="R94" s="15">
        <f t="shared" si="12"/>
        <v>6</v>
      </c>
      <c r="S94" s="15">
        <f t="shared" si="13"/>
        <v>180</v>
      </c>
      <c r="T94" s="4">
        <f t="shared" si="14"/>
        <v>7</v>
      </c>
      <c r="U94" s="3">
        <f t="shared" si="15"/>
        <v>210</v>
      </c>
      <c r="V94" s="19"/>
      <c r="W94">
        <f>SUM(W35:W93)</f>
        <v>18</v>
      </c>
    </row>
    <row r="95" spans="1:23" x14ac:dyDescent="0.3">
      <c r="B95" s="63"/>
      <c r="C95" s="13" t="s">
        <v>18</v>
      </c>
      <c r="D95" s="65"/>
      <c r="E95" s="65"/>
      <c r="F95" s="65"/>
      <c r="G95" s="66"/>
      <c r="H95" s="15">
        <v>180</v>
      </c>
      <c r="I95" s="15">
        <v>60</v>
      </c>
      <c r="J95" s="3">
        <v>1</v>
      </c>
      <c r="K95" s="15">
        <f t="shared" si="8"/>
        <v>30</v>
      </c>
      <c r="L95" s="17">
        <v>1</v>
      </c>
      <c r="M95" s="15">
        <f t="shared" si="9"/>
        <v>1</v>
      </c>
      <c r="N95" s="15">
        <f t="shared" si="10"/>
        <v>30</v>
      </c>
      <c r="O95" s="3">
        <v>1</v>
      </c>
      <c r="P95" s="15">
        <f t="shared" si="11"/>
        <v>30</v>
      </c>
      <c r="Q95" s="17">
        <v>1</v>
      </c>
      <c r="R95" s="15">
        <f t="shared" si="12"/>
        <v>1</v>
      </c>
      <c r="S95" s="15">
        <f t="shared" si="13"/>
        <v>30</v>
      </c>
      <c r="T95" s="4">
        <f t="shared" si="14"/>
        <v>2</v>
      </c>
      <c r="U95" s="3">
        <f t="shared" si="15"/>
        <v>60</v>
      </c>
      <c r="V95" s="19"/>
    </row>
    <row r="96" spans="1:23" x14ac:dyDescent="0.3">
      <c r="B96" s="62" t="s">
        <v>301</v>
      </c>
      <c r="C96" s="13" t="s">
        <v>17</v>
      </c>
      <c r="D96" s="65"/>
      <c r="E96" s="65"/>
      <c r="F96" s="65"/>
      <c r="G96" s="64">
        <v>6</v>
      </c>
      <c r="H96" s="15">
        <v>180</v>
      </c>
      <c r="I96" s="15">
        <v>60</v>
      </c>
      <c r="J96" s="3">
        <v>1</v>
      </c>
      <c r="K96" s="15">
        <f t="shared" si="8"/>
        <v>30</v>
      </c>
      <c r="L96" s="17">
        <v>1</v>
      </c>
      <c r="M96" s="15">
        <f t="shared" si="9"/>
        <v>1</v>
      </c>
      <c r="N96" s="15">
        <f t="shared" si="10"/>
        <v>30</v>
      </c>
      <c r="O96" s="3">
        <v>1</v>
      </c>
      <c r="P96" s="15">
        <f t="shared" si="11"/>
        <v>30</v>
      </c>
      <c r="Q96" s="17">
        <v>6</v>
      </c>
      <c r="R96" s="15">
        <f t="shared" si="12"/>
        <v>6</v>
      </c>
      <c r="S96" s="15">
        <f t="shared" si="13"/>
        <v>180</v>
      </c>
      <c r="T96" s="4">
        <f t="shared" si="14"/>
        <v>7</v>
      </c>
      <c r="U96" s="3">
        <f t="shared" si="15"/>
        <v>210</v>
      </c>
      <c r="V96" s="19"/>
    </row>
    <row r="97" spans="1:22" x14ac:dyDescent="0.3">
      <c r="B97" s="63"/>
      <c r="C97" s="13" t="s">
        <v>18</v>
      </c>
      <c r="D97" s="65"/>
      <c r="E97" s="65"/>
      <c r="F97" s="65"/>
      <c r="G97" s="66"/>
      <c r="H97" s="15">
        <v>180</v>
      </c>
      <c r="I97" s="15">
        <v>60</v>
      </c>
      <c r="J97" s="3">
        <v>1</v>
      </c>
      <c r="K97" s="15">
        <f t="shared" si="8"/>
        <v>30</v>
      </c>
      <c r="L97" s="17">
        <v>1</v>
      </c>
      <c r="M97" s="15">
        <f t="shared" si="9"/>
        <v>1</v>
      </c>
      <c r="N97" s="15">
        <f t="shared" si="10"/>
        <v>30</v>
      </c>
      <c r="O97" s="3">
        <v>1</v>
      </c>
      <c r="P97" s="15">
        <f t="shared" si="11"/>
        <v>30</v>
      </c>
      <c r="Q97" s="17">
        <v>1</v>
      </c>
      <c r="R97" s="15">
        <f t="shared" si="12"/>
        <v>1</v>
      </c>
      <c r="S97" s="15">
        <f t="shared" si="13"/>
        <v>30</v>
      </c>
      <c r="T97" s="4">
        <f t="shared" si="14"/>
        <v>2</v>
      </c>
      <c r="U97" s="3">
        <f t="shared" si="15"/>
        <v>60</v>
      </c>
      <c r="V97" s="19"/>
    </row>
    <row r="98" spans="1:22" x14ac:dyDescent="0.3">
      <c r="B98" s="62" t="s">
        <v>302</v>
      </c>
      <c r="C98" s="13" t="s">
        <v>17</v>
      </c>
      <c r="D98" s="65"/>
      <c r="E98" s="65"/>
      <c r="F98" s="65"/>
      <c r="G98" s="64">
        <v>6</v>
      </c>
      <c r="H98" s="15">
        <v>180</v>
      </c>
      <c r="I98" s="15">
        <v>60</v>
      </c>
      <c r="J98" s="3">
        <v>1</v>
      </c>
      <c r="K98" s="15">
        <f t="shared" si="8"/>
        <v>30</v>
      </c>
      <c r="L98" s="17">
        <v>1</v>
      </c>
      <c r="M98" s="15">
        <f t="shared" si="9"/>
        <v>1</v>
      </c>
      <c r="N98" s="15">
        <f t="shared" si="10"/>
        <v>30</v>
      </c>
      <c r="O98" s="3">
        <v>1</v>
      </c>
      <c r="P98" s="15">
        <f t="shared" si="11"/>
        <v>30</v>
      </c>
      <c r="Q98" s="17">
        <v>6</v>
      </c>
      <c r="R98" s="15">
        <f t="shared" si="12"/>
        <v>6</v>
      </c>
      <c r="S98" s="15">
        <f t="shared" si="13"/>
        <v>180</v>
      </c>
      <c r="T98" s="4">
        <f t="shared" si="14"/>
        <v>7</v>
      </c>
      <c r="U98" s="3">
        <f t="shared" si="15"/>
        <v>210</v>
      </c>
      <c r="V98" s="19"/>
    </row>
    <row r="99" spans="1:22" x14ac:dyDescent="0.3">
      <c r="B99" s="63"/>
      <c r="C99" s="13" t="s">
        <v>18</v>
      </c>
      <c r="D99" s="65"/>
      <c r="E99" s="65"/>
      <c r="F99" s="65"/>
      <c r="G99" s="66"/>
      <c r="H99" s="15">
        <v>180</v>
      </c>
      <c r="I99" s="15">
        <v>60</v>
      </c>
      <c r="J99" s="3">
        <v>1</v>
      </c>
      <c r="K99" s="15">
        <f t="shared" si="8"/>
        <v>30</v>
      </c>
      <c r="L99" s="17">
        <v>1</v>
      </c>
      <c r="M99" s="15">
        <f t="shared" si="9"/>
        <v>1</v>
      </c>
      <c r="N99" s="15">
        <f t="shared" si="10"/>
        <v>30</v>
      </c>
      <c r="O99" s="3">
        <v>1</v>
      </c>
      <c r="P99" s="15">
        <f t="shared" si="11"/>
        <v>30</v>
      </c>
      <c r="Q99" s="17">
        <v>1</v>
      </c>
      <c r="R99" s="15">
        <f t="shared" si="12"/>
        <v>1</v>
      </c>
      <c r="S99" s="15">
        <f t="shared" si="13"/>
        <v>30</v>
      </c>
      <c r="T99" s="4">
        <f t="shared" si="14"/>
        <v>2</v>
      </c>
      <c r="U99" s="3">
        <f t="shared" si="15"/>
        <v>60</v>
      </c>
      <c r="V99" s="19"/>
    </row>
    <row r="100" spans="1:22" x14ac:dyDescent="0.35">
      <c r="A100" s="8"/>
      <c r="B100" s="62" t="s">
        <v>303</v>
      </c>
      <c r="C100" s="13" t="s">
        <v>17</v>
      </c>
      <c r="D100" s="65"/>
      <c r="E100" s="65"/>
      <c r="F100" s="65"/>
      <c r="G100" s="87">
        <v>4</v>
      </c>
      <c r="H100" s="15">
        <v>120</v>
      </c>
      <c r="I100" s="15">
        <v>45</v>
      </c>
      <c r="J100" s="3">
        <v>0.5</v>
      </c>
      <c r="K100" s="15">
        <f t="shared" si="8"/>
        <v>15</v>
      </c>
      <c r="L100" s="17">
        <v>1</v>
      </c>
      <c r="M100" s="15">
        <f t="shared" si="9"/>
        <v>0.5</v>
      </c>
      <c r="N100" s="15">
        <f t="shared" si="10"/>
        <v>15</v>
      </c>
      <c r="O100" s="3">
        <v>1</v>
      </c>
      <c r="P100" s="15">
        <f t="shared" si="11"/>
        <v>30</v>
      </c>
      <c r="Q100" s="17">
        <v>6</v>
      </c>
      <c r="R100" s="15">
        <f t="shared" si="12"/>
        <v>6</v>
      </c>
      <c r="S100" s="15">
        <f t="shared" si="13"/>
        <v>180</v>
      </c>
      <c r="T100" s="4">
        <f t="shared" si="14"/>
        <v>6.5</v>
      </c>
      <c r="U100" s="3">
        <f t="shared" si="15"/>
        <v>195</v>
      </c>
      <c r="V100" s="10"/>
    </row>
    <row r="101" spans="1:22" x14ac:dyDescent="0.35">
      <c r="A101" s="8"/>
      <c r="B101" s="63"/>
      <c r="C101" s="13" t="s">
        <v>18</v>
      </c>
      <c r="D101" s="66"/>
      <c r="E101" s="66"/>
      <c r="F101" s="66"/>
      <c r="G101" s="88"/>
      <c r="H101" s="15">
        <v>120</v>
      </c>
      <c r="I101" s="15">
        <v>45</v>
      </c>
      <c r="J101" s="3">
        <v>0.5</v>
      </c>
      <c r="K101" s="15">
        <f t="shared" si="8"/>
        <v>15</v>
      </c>
      <c r="L101" s="17">
        <v>1</v>
      </c>
      <c r="M101" s="15">
        <f t="shared" si="9"/>
        <v>0.5</v>
      </c>
      <c r="N101" s="15">
        <f t="shared" si="10"/>
        <v>15</v>
      </c>
      <c r="O101" s="3">
        <v>1</v>
      </c>
      <c r="P101" s="15">
        <f t="shared" si="11"/>
        <v>30</v>
      </c>
      <c r="Q101" s="17">
        <v>1</v>
      </c>
      <c r="R101" s="15">
        <f t="shared" si="12"/>
        <v>1</v>
      </c>
      <c r="S101" s="15">
        <f t="shared" si="13"/>
        <v>30</v>
      </c>
      <c r="T101" s="4">
        <f t="shared" si="14"/>
        <v>1.5</v>
      </c>
      <c r="U101" s="3">
        <f t="shared" si="15"/>
        <v>45</v>
      </c>
      <c r="V101" s="20"/>
    </row>
    <row r="102" spans="1:22" x14ac:dyDescent="0.35">
      <c r="A102" s="8"/>
      <c r="B102" s="62" t="s">
        <v>308</v>
      </c>
      <c r="C102" s="13" t="s">
        <v>17</v>
      </c>
      <c r="D102" s="64">
        <v>75</v>
      </c>
      <c r="E102" s="64">
        <v>15</v>
      </c>
      <c r="F102" s="64" t="s">
        <v>25</v>
      </c>
      <c r="G102" s="87">
        <v>5</v>
      </c>
      <c r="H102" s="15">
        <v>150</v>
      </c>
      <c r="I102" s="15">
        <v>45</v>
      </c>
      <c r="J102" s="3">
        <v>0.5</v>
      </c>
      <c r="K102" s="15">
        <f t="shared" si="8"/>
        <v>15</v>
      </c>
      <c r="L102" s="17">
        <v>1</v>
      </c>
      <c r="M102" s="15">
        <f t="shared" si="9"/>
        <v>0.5</v>
      </c>
      <c r="N102" s="15">
        <f t="shared" si="10"/>
        <v>15</v>
      </c>
      <c r="O102" s="3">
        <v>1</v>
      </c>
      <c r="P102" s="15">
        <f t="shared" si="11"/>
        <v>30</v>
      </c>
      <c r="Q102" s="17">
        <v>5</v>
      </c>
      <c r="R102" s="15">
        <f t="shared" si="12"/>
        <v>5</v>
      </c>
      <c r="S102" s="15">
        <f t="shared" si="13"/>
        <v>150</v>
      </c>
      <c r="T102" s="4">
        <f t="shared" si="14"/>
        <v>5.5</v>
      </c>
      <c r="U102" s="3">
        <f t="shared" si="15"/>
        <v>165</v>
      </c>
      <c r="V102" s="10"/>
    </row>
    <row r="103" spans="1:22" x14ac:dyDescent="0.35">
      <c r="A103" s="8"/>
      <c r="B103" s="63"/>
      <c r="C103" s="13" t="s">
        <v>18</v>
      </c>
      <c r="D103" s="65"/>
      <c r="E103" s="65"/>
      <c r="F103" s="65"/>
      <c r="G103" s="88"/>
      <c r="H103" s="15">
        <v>150</v>
      </c>
      <c r="I103" s="15">
        <v>45</v>
      </c>
      <c r="J103" s="3">
        <v>0.5</v>
      </c>
      <c r="K103" s="15">
        <f t="shared" si="8"/>
        <v>15</v>
      </c>
      <c r="L103" s="17">
        <v>1</v>
      </c>
      <c r="M103" s="15">
        <f t="shared" si="9"/>
        <v>0.5</v>
      </c>
      <c r="N103" s="15">
        <f t="shared" si="10"/>
        <v>15</v>
      </c>
      <c r="O103" s="3">
        <v>1</v>
      </c>
      <c r="P103" s="15">
        <f t="shared" si="11"/>
        <v>30</v>
      </c>
      <c r="Q103" s="17">
        <v>1</v>
      </c>
      <c r="R103" s="15">
        <f t="shared" si="12"/>
        <v>1</v>
      </c>
      <c r="S103" s="15">
        <f t="shared" si="13"/>
        <v>30</v>
      </c>
      <c r="T103" s="4">
        <f t="shared" si="14"/>
        <v>1.5</v>
      </c>
      <c r="U103" s="3">
        <f t="shared" si="15"/>
        <v>45</v>
      </c>
      <c r="V103" s="20"/>
    </row>
    <row r="104" spans="1:22" x14ac:dyDescent="0.3">
      <c r="A104" s="7"/>
      <c r="B104" s="62" t="s">
        <v>309</v>
      </c>
      <c r="C104" s="13" t="s">
        <v>17</v>
      </c>
      <c r="D104" s="65"/>
      <c r="E104" s="65"/>
      <c r="F104" s="65"/>
      <c r="G104" s="64">
        <v>5</v>
      </c>
      <c r="H104" s="15">
        <v>150</v>
      </c>
      <c r="I104" s="15">
        <v>45</v>
      </c>
      <c r="J104" s="3">
        <v>0.5</v>
      </c>
      <c r="K104" s="15">
        <f t="shared" si="8"/>
        <v>15</v>
      </c>
      <c r="L104" s="17">
        <v>1</v>
      </c>
      <c r="M104" s="15">
        <f t="shared" si="9"/>
        <v>0.5</v>
      </c>
      <c r="N104" s="15">
        <f t="shared" si="10"/>
        <v>15</v>
      </c>
      <c r="O104" s="3">
        <v>1</v>
      </c>
      <c r="P104" s="15">
        <f t="shared" si="11"/>
        <v>30</v>
      </c>
      <c r="Q104" s="17">
        <v>5</v>
      </c>
      <c r="R104" s="15">
        <f t="shared" si="12"/>
        <v>5</v>
      </c>
      <c r="S104" s="15">
        <f t="shared" si="13"/>
        <v>150</v>
      </c>
      <c r="T104" s="4">
        <f t="shared" si="14"/>
        <v>5.5</v>
      </c>
      <c r="U104" s="3">
        <f t="shared" si="15"/>
        <v>165</v>
      </c>
      <c r="V104" s="19"/>
    </row>
    <row r="105" spans="1:22" x14ac:dyDescent="0.3">
      <c r="A105" s="7"/>
      <c r="B105" s="63"/>
      <c r="C105" s="13" t="s">
        <v>18</v>
      </c>
      <c r="D105" s="65"/>
      <c r="E105" s="65"/>
      <c r="F105" s="65"/>
      <c r="G105" s="66"/>
      <c r="H105" s="15">
        <v>150</v>
      </c>
      <c r="I105" s="15">
        <v>45</v>
      </c>
      <c r="J105" s="3">
        <v>0.5</v>
      </c>
      <c r="K105" s="15">
        <f t="shared" si="8"/>
        <v>15</v>
      </c>
      <c r="L105" s="17">
        <v>1</v>
      </c>
      <c r="M105" s="15">
        <f t="shared" si="9"/>
        <v>0.5</v>
      </c>
      <c r="N105" s="15">
        <f t="shared" si="10"/>
        <v>15</v>
      </c>
      <c r="O105" s="3">
        <v>1</v>
      </c>
      <c r="P105" s="15">
        <f t="shared" si="11"/>
        <v>30</v>
      </c>
      <c r="Q105" s="17">
        <v>1</v>
      </c>
      <c r="R105" s="15">
        <f t="shared" si="12"/>
        <v>1</v>
      </c>
      <c r="S105" s="15">
        <f t="shared" si="13"/>
        <v>30</v>
      </c>
      <c r="T105" s="4">
        <f t="shared" si="14"/>
        <v>1.5</v>
      </c>
      <c r="U105" s="3">
        <f t="shared" si="15"/>
        <v>45</v>
      </c>
      <c r="V105" s="19"/>
    </row>
    <row r="106" spans="1:22" x14ac:dyDescent="0.3">
      <c r="A106" s="7"/>
      <c r="B106" s="62" t="s">
        <v>310</v>
      </c>
      <c r="C106" s="13" t="s">
        <v>17</v>
      </c>
      <c r="D106" s="65"/>
      <c r="E106" s="65"/>
      <c r="F106" s="65"/>
      <c r="G106" s="64">
        <v>5</v>
      </c>
      <c r="H106" s="15">
        <v>150</v>
      </c>
      <c r="I106" s="15">
        <v>45</v>
      </c>
      <c r="J106" s="3">
        <v>0.5</v>
      </c>
      <c r="K106" s="15">
        <f t="shared" si="8"/>
        <v>15</v>
      </c>
      <c r="L106" s="17">
        <v>1</v>
      </c>
      <c r="M106" s="15">
        <f t="shared" si="9"/>
        <v>0.5</v>
      </c>
      <c r="N106" s="15">
        <f t="shared" si="10"/>
        <v>15</v>
      </c>
      <c r="O106" s="3">
        <v>1</v>
      </c>
      <c r="P106" s="15">
        <f t="shared" si="11"/>
        <v>30</v>
      </c>
      <c r="Q106" s="17">
        <v>5</v>
      </c>
      <c r="R106" s="15">
        <f t="shared" si="12"/>
        <v>5</v>
      </c>
      <c r="S106" s="15">
        <f t="shared" si="13"/>
        <v>150</v>
      </c>
      <c r="T106" s="4">
        <f t="shared" si="14"/>
        <v>5.5</v>
      </c>
      <c r="U106" s="3">
        <f t="shared" si="15"/>
        <v>165</v>
      </c>
      <c r="V106" s="19"/>
    </row>
    <row r="107" spans="1:22" x14ac:dyDescent="0.3">
      <c r="A107" s="7"/>
      <c r="B107" s="63"/>
      <c r="C107" s="13" t="s">
        <v>18</v>
      </c>
      <c r="D107" s="65"/>
      <c r="E107" s="65"/>
      <c r="F107" s="65"/>
      <c r="G107" s="66"/>
      <c r="H107" s="15">
        <v>150</v>
      </c>
      <c r="I107" s="15">
        <v>45</v>
      </c>
      <c r="J107" s="3">
        <v>0.5</v>
      </c>
      <c r="K107" s="15">
        <f t="shared" si="8"/>
        <v>15</v>
      </c>
      <c r="L107" s="17">
        <v>1</v>
      </c>
      <c r="M107" s="15">
        <f t="shared" si="9"/>
        <v>0.5</v>
      </c>
      <c r="N107" s="15">
        <f t="shared" si="10"/>
        <v>15</v>
      </c>
      <c r="O107" s="3">
        <v>1</v>
      </c>
      <c r="P107" s="15">
        <f t="shared" si="11"/>
        <v>30</v>
      </c>
      <c r="Q107" s="17">
        <v>1</v>
      </c>
      <c r="R107" s="15">
        <f t="shared" si="12"/>
        <v>1</v>
      </c>
      <c r="S107" s="15">
        <f t="shared" si="13"/>
        <v>30</v>
      </c>
      <c r="T107" s="4">
        <f t="shared" si="14"/>
        <v>1.5</v>
      </c>
      <c r="U107" s="3">
        <f t="shared" si="15"/>
        <v>45</v>
      </c>
      <c r="V107" s="19"/>
    </row>
    <row r="108" spans="1:22" x14ac:dyDescent="0.3">
      <c r="A108" s="7"/>
      <c r="B108" s="62" t="s">
        <v>311</v>
      </c>
      <c r="C108" s="13" t="s">
        <v>17</v>
      </c>
      <c r="D108" s="65"/>
      <c r="E108" s="65"/>
      <c r="F108" s="65"/>
      <c r="G108" s="64">
        <v>5</v>
      </c>
      <c r="H108" s="15">
        <v>150</v>
      </c>
      <c r="I108" s="15">
        <v>45</v>
      </c>
      <c r="J108" s="3">
        <v>0.5</v>
      </c>
      <c r="K108" s="15">
        <f t="shared" si="8"/>
        <v>15</v>
      </c>
      <c r="L108" s="17">
        <v>1</v>
      </c>
      <c r="M108" s="15">
        <f t="shared" si="9"/>
        <v>0.5</v>
      </c>
      <c r="N108" s="15">
        <f t="shared" si="10"/>
        <v>15</v>
      </c>
      <c r="O108" s="3">
        <v>1</v>
      </c>
      <c r="P108" s="15">
        <f t="shared" si="11"/>
        <v>30</v>
      </c>
      <c r="Q108" s="17">
        <v>5</v>
      </c>
      <c r="R108" s="15">
        <f t="shared" si="12"/>
        <v>5</v>
      </c>
      <c r="S108" s="15">
        <f t="shared" si="13"/>
        <v>150</v>
      </c>
      <c r="T108" s="4">
        <f t="shared" si="14"/>
        <v>5.5</v>
      </c>
      <c r="U108" s="3">
        <f t="shared" si="15"/>
        <v>165</v>
      </c>
      <c r="V108" s="19"/>
    </row>
    <row r="109" spans="1:22" x14ac:dyDescent="0.3">
      <c r="A109" s="7"/>
      <c r="B109" s="63"/>
      <c r="C109" s="13" t="s">
        <v>18</v>
      </c>
      <c r="D109" s="66"/>
      <c r="E109" s="66"/>
      <c r="F109" s="66"/>
      <c r="G109" s="66"/>
      <c r="H109" s="15">
        <v>150</v>
      </c>
      <c r="I109" s="15">
        <v>45</v>
      </c>
      <c r="J109" s="3">
        <v>0.5</v>
      </c>
      <c r="K109" s="15">
        <f t="shared" si="8"/>
        <v>15</v>
      </c>
      <c r="L109" s="17">
        <v>1</v>
      </c>
      <c r="M109" s="15">
        <f t="shared" si="9"/>
        <v>0.5</v>
      </c>
      <c r="N109" s="15">
        <f t="shared" si="10"/>
        <v>15</v>
      </c>
      <c r="O109" s="3">
        <v>1</v>
      </c>
      <c r="P109" s="15">
        <f t="shared" si="11"/>
        <v>30</v>
      </c>
      <c r="Q109" s="17">
        <v>1</v>
      </c>
      <c r="R109" s="15">
        <f t="shared" si="12"/>
        <v>1</v>
      </c>
      <c r="S109" s="15">
        <f t="shared" si="13"/>
        <v>30</v>
      </c>
      <c r="T109" s="4">
        <f t="shared" si="14"/>
        <v>1.5</v>
      </c>
      <c r="U109" s="3">
        <f t="shared" si="15"/>
        <v>45</v>
      </c>
      <c r="V109" s="19"/>
    </row>
    <row r="110" spans="1:22" x14ac:dyDescent="0.3">
      <c r="A110" s="7"/>
      <c r="B110" s="62" t="s">
        <v>317</v>
      </c>
      <c r="C110" s="13" t="s">
        <v>17</v>
      </c>
      <c r="D110" s="64">
        <v>58</v>
      </c>
      <c r="E110" s="64">
        <v>7</v>
      </c>
      <c r="F110" s="64" t="s">
        <v>26</v>
      </c>
      <c r="G110" s="64">
        <v>3</v>
      </c>
      <c r="H110" s="15">
        <v>90</v>
      </c>
      <c r="I110" s="15">
        <v>30</v>
      </c>
      <c r="J110" s="3">
        <v>0.5</v>
      </c>
      <c r="K110" s="15">
        <f t="shared" si="8"/>
        <v>15</v>
      </c>
      <c r="L110" s="17">
        <v>1</v>
      </c>
      <c r="M110" s="15">
        <f t="shared" si="9"/>
        <v>0.5</v>
      </c>
      <c r="N110" s="15">
        <f t="shared" si="10"/>
        <v>15</v>
      </c>
      <c r="O110" s="3">
        <v>0.5</v>
      </c>
      <c r="P110" s="15">
        <f t="shared" si="11"/>
        <v>15</v>
      </c>
      <c r="Q110" s="9">
        <v>4</v>
      </c>
      <c r="R110" s="15">
        <f t="shared" si="12"/>
        <v>2</v>
      </c>
      <c r="S110" s="15">
        <f t="shared" si="13"/>
        <v>60</v>
      </c>
      <c r="T110" s="4">
        <f t="shared" si="14"/>
        <v>2.5</v>
      </c>
      <c r="U110" s="3">
        <f t="shared" si="15"/>
        <v>75</v>
      </c>
      <c r="V110" s="19"/>
    </row>
    <row r="111" spans="1:22" x14ac:dyDescent="0.3">
      <c r="A111" s="7"/>
      <c r="B111" s="63"/>
      <c r="C111" s="13" t="s">
        <v>18</v>
      </c>
      <c r="D111" s="65"/>
      <c r="E111" s="65"/>
      <c r="F111" s="65"/>
      <c r="G111" s="66"/>
      <c r="H111" s="15">
        <v>90</v>
      </c>
      <c r="I111" s="15">
        <v>30</v>
      </c>
      <c r="J111" s="3">
        <v>0.5</v>
      </c>
      <c r="K111" s="15">
        <f t="shared" si="8"/>
        <v>15</v>
      </c>
      <c r="L111" s="17">
        <v>1</v>
      </c>
      <c r="M111" s="15">
        <f t="shared" si="9"/>
        <v>0.5</v>
      </c>
      <c r="N111" s="15">
        <f t="shared" si="10"/>
        <v>15</v>
      </c>
      <c r="O111" s="3">
        <v>0.5</v>
      </c>
      <c r="P111" s="15">
        <f t="shared" si="11"/>
        <v>15</v>
      </c>
      <c r="Q111" s="9">
        <v>1</v>
      </c>
      <c r="R111" s="15">
        <f t="shared" si="12"/>
        <v>0.5</v>
      </c>
      <c r="S111" s="15">
        <f t="shared" si="13"/>
        <v>15</v>
      </c>
      <c r="T111" s="4">
        <f t="shared" si="14"/>
        <v>1</v>
      </c>
      <c r="U111" s="3">
        <f t="shared" si="15"/>
        <v>30</v>
      </c>
      <c r="V111" s="19"/>
    </row>
    <row r="112" spans="1:22" x14ac:dyDescent="0.3">
      <c r="A112" s="7"/>
      <c r="B112" s="62" t="s">
        <v>319</v>
      </c>
      <c r="C112" s="13" t="s">
        <v>17</v>
      </c>
      <c r="D112" s="65"/>
      <c r="E112" s="65"/>
      <c r="F112" s="65"/>
      <c r="G112" s="64">
        <v>5</v>
      </c>
      <c r="H112" s="15">
        <v>150</v>
      </c>
      <c r="I112" s="15">
        <v>45</v>
      </c>
      <c r="J112" s="3">
        <v>0.5</v>
      </c>
      <c r="K112" s="15">
        <f t="shared" si="8"/>
        <v>15</v>
      </c>
      <c r="L112" s="17">
        <v>1</v>
      </c>
      <c r="M112" s="15">
        <f t="shared" si="9"/>
        <v>0.5</v>
      </c>
      <c r="N112" s="15">
        <f t="shared" si="10"/>
        <v>15</v>
      </c>
      <c r="O112" s="3">
        <v>1</v>
      </c>
      <c r="P112" s="15">
        <f t="shared" si="11"/>
        <v>30</v>
      </c>
      <c r="Q112" s="9">
        <v>4</v>
      </c>
      <c r="R112" s="15">
        <f t="shared" si="12"/>
        <v>4</v>
      </c>
      <c r="S112" s="15">
        <f t="shared" si="13"/>
        <v>120</v>
      </c>
      <c r="T112" s="4">
        <f t="shared" si="14"/>
        <v>4.5</v>
      </c>
      <c r="U112" s="3">
        <f t="shared" si="15"/>
        <v>135</v>
      </c>
      <c r="V112" s="19"/>
    </row>
    <row r="113" spans="1:22" x14ac:dyDescent="0.3">
      <c r="A113" s="7"/>
      <c r="B113" s="63"/>
      <c r="C113" s="13" t="s">
        <v>18</v>
      </c>
      <c r="D113" s="65"/>
      <c r="E113" s="65"/>
      <c r="F113" s="65"/>
      <c r="G113" s="66"/>
      <c r="H113" s="15">
        <v>150</v>
      </c>
      <c r="I113" s="15">
        <v>45</v>
      </c>
      <c r="J113" s="3">
        <v>0.5</v>
      </c>
      <c r="K113" s="15">
        <f t="shared" si="8"/>
        <v>15</v>
      </c>
      <c r="L113" s="17">
        <v>1</v>
      </c>
      <c r="M113" s="15">
        <f t="shared" si="9"/>
        <v>0.5</v>
      </c>
      <c r="N113" s="15">
        <f t="shared" si="10"/>
        <v>15</v>
      </c>
      <c r="O113" s="3">
        <v>1</v>
      </c>
      <c r="P113" s="15">
        <f t="shared" si="11"/>
        <v>30</v>
      </c>
      <c r="Q113" s="9">
        <v>1</v>
      </c>
      <c r="R113" s="15">
        <f t="shared" si="12"/>
        <v>1</v>
      </c>
      <c r="S113" s="15">
        <f t="shared" si="13"/>
        <v>30</v>
      </c>
      <c r="T113" s="4">
        <f t="shared" si="14"/>
        <v>1.5</v>
      </c>
      <c r="U113" s="3">
        <f t="shared" si="15"/>
        <v>45</v>
      </c>
      <c r="V113" s="19"/>
    </row>
    <row r="114" spans="1:22" x14ac:dyDescent="0.3">
      <c r="A114" s="7"/>
      <c r="B114" s="62" t="s">
        <v>320</v>
      </c>
      <c r="C114" s="13" t="s">
        <v>17</v>
      </c>
      <c r="D114" s="65"/>
      <c r="E114" s="65"/>
      <c r="F114" s="65"/>
      <c r="G114" s="64">
        <v>4</v>
      </c>
      <c r="H114" s="15">
        <v>120</v>
      </c>
      <c r="I114" s="15">
        <v>45</v>
      </c>
      <c r="J114" s="3">
        <v>0.5</v>
      </c>
      <c r="K114" s="15">
        <f t="shared" si="8"/>
        <v>15</v>
      </c>
      <c r="L114" s="17">
        <v>1</v>
      </c>
      <c r="M114" s="15">
        <f t="shared" si="9"/>
        <v>0.5</v>
      </c>
      <c r="N114" s="15">
        <f t="shared" si="10"/>
        <v>15</v>
      </c>
      <c r="O114" s="3">
        <v>1</v>
      </c>
      <c r="P114" s="15">
        <f t="shared" si="11"/>
        <v>30</v>
      </c>
      <c r="Q114" s="9">
        <v>4</v>
      </c>
      <c r="R114" s="15">
        <f t="shared" si="12"/>
        <v>4</v>
      </c>
      <c r="S114" s="15">
        <f t="shared" si="13"/>
        <v>120</v>
      </c>
      <c r="T114" s="4">
        <f t="shared" si="14"/>
        <v>4.5</v>
      </c>
      <c r="U114" s="3">
        <f t="shared" si="15"/>
        <v>135</v>
      </c>
      <c r="V114" s="19"/>
    </row>
    <row r="115" spans="1:22" x14ac:dyDescent="0.3">
      <c r="A115" s="7"/>
      <c r="B115" s="63"/>
      <c r="C115" s="13" t="s">
        <v>18</v>
      </c>
      <c r="D115" s="65"/>
      <c r="E115" s="65"/>
      <c r="F115" s="65"/>
      <c r="G115" s="66"/>
      <c r="H115" s="15">
        <v>120</v>
      </c>
      <c r="I115" s="15">
        <v>45</v>
      </c>
      <c r="J115" s="3">
        <v>0.5</v>
      </c>
      <c r="K115" s="15">
        <f t="shared" si="8"/>
        <v>15</v>
      </c>
      <c r="L115" s="17">
        <v>1</v>
      </c>
      <c r="M115" s="15">
        <f t="shared" si="9"/>
        <v>0.5</v>
      </c>
      <c r="N115" s="15">
        <f t="shared" si="10"/>
        <v>15</v>
      </c>
      <c r="O115" s="3">
        <v>1</v>
      </c>
      <c r="P115" s="15">
        <f t="shared" si="11"/>
        <v>30</v>
      </c>
      <c r="Q115" s="9">
        <v>1</v>
      </c>
      <c r="R115" s="15">
        <f t="shared" si="12"/>
        <v>1</v>
      </c>
      <c r="S115" s="15">
        <f t="shared" si="13"/>
        <v>30</v>
      </c>
      <c r="T115" s="4">
        <f t="shared" si="14"/>
        <v>1.5</v>
      </c>
      <c r="U115" s="3">
        <f t="shared" si="15"/>
        <v>45</v>
      </c>
      <c r="V115" s="19"/>
    </row>
    <row r="116" spans="1:22" x14ac:dyDescent="0.3">
      <c r="A116" s="7"/>
      <c r="B116" s="62" t="s">
        <v>321</v>
      </c>
      <c r="C116" s="13" t="s">
        <v>17</v>
      </c>
      <c r="D116" s="65"/>
      <c r="E116" s="65"/>
      <c r="F116" s="65"/>
      <c r="G116" s="64">
        <v>5</v>
      </c>
      <c r="H116" s="15">
        <v>150</v>
      </c>
      <c r="I116" s="15">
        <v>45</v>
      </c>
      <c r="J116" s="3">
        <v>0.5</v>
      </c>
      <c r="K116" s="15">
        <f t="shared" si="8"/>
        <v>15</v>
      </c>
      <c r="L116" s="17">
        <v>1</v>
      </c>
      <c r="M116" s="15">
        <f t="shared" si="9"/>
        <v>0.5</v>
      </c>
      <c r="N116" s="15">
        <f t="shared" si="10"/>
        <v>15</v>
      </c>
      <c r="O116" s="3">
        <v>1</v>
      </c>
      <c r="P116" s="15">
        <f t="shared" si="11"/>
        <v>30</v>
      </c>
      <c r="Q116" s="9">
        <v>4</v>
      </c>
      <c r="R116" s="15">
        <f t="shared" si="12"/>
        <v>4</v>
      </c>
      <c r="S116" s="15">
        <f t="shared" si="13"/>
        <v>120</v>
      </c>
      <c r="T116" s="4">
        <f t="shared" si="14"/>
        <v>4.5</v>
      </c>
      <c r="U116" s="3">
        <f t="shared" si="15"/>
        <v>135</v>
      </c>
      <c r="V116" s="19"/>
    </row>
    <row r="117" spans="1:22" x14ac:dyDescent="0.3">
      <c r="A117" s="7"/>
      <c r="B117" s="63"/>
      <c r="C117" s="13" t="s">
        <v>18</v>
      </c>
      <c r="D117" s="65"/>
      <c r="E117" s="65"/>
      <c r="F117" s="65"/>
      <c r="G117" s="66"/>
      <c r="H117" s="15">
        <v>150</v>
      </c>
      <c r="I117" s="15">
        <v>45</v>
      </c>
      <c r="J117" s="3">
        <v>0.5</v>
      </c>
      <c r="K117" s="15">
        <f t="shared" si="8"/>
        <v>15</v>
      </c>
      <c r="L117" s="17">
        <v>1</v>
      </c>
      <c r="M117" s="15">
        <f t="shared" si="9"/>
        <v>0.5</v>
      </c>
      <c r="N117" s="15">
        <f t="shared" si="10"/>
        <v>15</v>
      </c>
      <c r="O117" s="3">
        <v>1</v>
      </c>
      <c r="P117" s="15">
        <f t="shared" si="11"/>
        <v>30</v>
      </c>
      <c r="Q117" s="9">
        <v>1</v>
      </c>
      <c r="R117" s="15">
        <f t="shared" si="12"/>
        <v>1</v>
      </c>
      <c r="S117" s="15">
        <f t="shared" si="13"/>
        <v>30</v>
      </c>
      <c r="T117" s="4">
        <f t="shared" si="14"/>
        <v>1.5</v>
      </c>
      <c r="U117" s="3">
        <f t="shared" si="15"/>
        <v>45</v>
      </c>
      <c r="V117" s="19"/>
    </row>
    <row r="118" spans="1:22" ht="27" customHeight="1" x14ac:dyDescent="0.3">
      <c r="A118" s="7"/>
      <c r="B118" s="62" t="s">
        <v>322</v>
      </c>
      <c r="C118" s="13" t="s">
        <v>17</v>
      </c>
      <c r="D118" s="65"/>
      <c r="E118" s="65"/>
      <c r="F118" s="65"/>
      <c r="G118" s="64">
        <v>3</v>
      </c>
      <c r="H118" s="15">
        <v>90</v>
      </c>
      <c r="I118" s="15">
        <v>30</v>
      </c>
      <c r="J118" s="3">
        <v>0.5</v>
      </c>
      <c r="K118" s="15">
        <f t="shared" si="8"/>
        <v>15</v>
      </c>
      <c r="L118" s="17">
        <v>1</v>
      </c>
      <c r="M118" s="15">
        <f t="shared" si="9"/>
        <v>0.5</v>
      </c>
      <c r="N118" s="15">
        <f t="shared" si="10"/>
        <v>15</v>
      </c>
      <c r="O118" s="3">
        <v>0.5</v>
      </c>
      <c r="P118" s="15">
        <f t="shared" si="11"/>
        <v>15</v>
      </c>
      <c r="Q118" s="9">
        <v>4</v>
      </c>
      <c r="R118" s="15">
        <f t="shared" si="12"/>
        <v>2</v>
      </c>
      <c r="S118" s="15">
        <f t="shared" si="13"/>
        <v>60</v>
      </c>
      <c r="T118" s="4">
        <f t="shared" si="14"/>
        <v>2.5</v>
      </c>
      <c r="U118" s="3">
        <f t="shared" si="15"/>
        <v>75</v>
      </c>
      <c r="V118" s="19"/>
    </row>
    <row r="119" spans="1:22" ht="27.6" customHeight="1" x14ac:dyDescent="0.3">
      <c r="A119" s="7"/>
      <c r="B119" s="63"/>
      <c r="C119" s="13" t="s">
        <v>18</v>
      </c>
      <c r="D119" s="66"/>
      <c r="E119" s="66"/>
      <c r="F119" s="66"/>
      <c r="G119" s="66"/>
      <c r="H119" s="15">
        <v>90</v>
      </c>
      <c r="I119" s="15">
        <v>30</v>
      </c>
      <c r="J119" s="3">
        <v>0.5</v>
      </c>
      <c r="K119" s="15">
        <f t="shared" si="8"/>
        <v>15</v>
      </c>
      <c r="L119" s="17">
        <v>1</v>
      </c>
      <c r="M119" s="15">
        <f t="shared" si="9"/>
        <v>0.5</v>
      </c>
      <c r="N119" s="15">
        <f t="shared" si="10"/>
        <v>15</v>
      </c>
      <c r="O119" s="3">
        <v>0.5</v>
      </c>
      <c r="P119" s="15">
        <f t="shared" si="11"/>
        <v>15</v>
      </c>
      <c r="Q119" s="9">
        <v>1</v>
      </c>
      <c r="R119" s="15">
        <f t="shared" si="12"/>
        <v>0.5</v>
      </c>
      <c r="S119" s="15">
        <f t="shared" si="13"/>
        <v>15</v>
      </c>
      <c r="T119" s="4">
        <f t="shared" si="14"/>
        <v>1</v>
      </c>
      <c r="U119" s="3">
        <f t="shared" si="15"/>
        <v>30</v>
      </c>
      <c r="V119" s="19"/>
    </row>
    <row r="120" spans="1:22" x14ac:dyDescent="0.3">
      <c r="B120" s="62" t="s">
        <v>179</v>
      </c>
      <c r="C120" s="13" t="s">
        <v>17</v>
      </c>
      <c r="D120" s="64">
        <v>92</v>
      </c>
      <c r="E120" s="64">
        <v>60</v>
      </c>
      <c r="F120" s="64" t="s">
        <v>570</v>
      </c>
      <c r="G120" s="64">
        <v>4</v>
      </c>
      <c r="H120" s="15">
        <v>120</v>
      </c>
      <c r="I120" s="15">
        <v>45</v>
      </c>
      <c r="J120" s="3">
        <v>0.5</v>
      </c>
      <c r="K120" s="15">
        <f t="shared" si="8"/>
        <v>15</v>
      </c>
      <c r="L120" s="17">
        <v>1</v>
      </c>
      <c r="M120" s="15">
        <f t="shared" si="9"/>
        <v>0.5</v>
      </c>
      <c r="N120" s="15">
        <f t="shared" si="10"/>
        <v>15</v>
      </c>
      <c r="O120" s="3">
        <v>1</v>
      </c>
      <c r="P120" s="15">
        <f t="shared" si="11"/>
        <v>30</v>
      </c>
      <c r="Q120" s="38">
        <v>4</v>
      </c>
      <c r="R120" s="15">
        <f t="shared" si="12"/>
        <v>4</v>
      </c>
      <c r="S120" s="15">
        <f t="shared" si="13"/>
        <v>120</v>
      </c>
      <c r="T120" s="4">
        <f t="shared" si="14"/>
        <v>4.5</v>
      </c>
      <c r="U120" s="3">
        <f t="shared" si="15"/>
        <v>135</v>
      </c>
      <c r="V120" s="19"/>
    </row>
    <row r="121" spans="1:22" x14ac:dyDescent="0.3">
      <c r="B121" s="63"/>
      <c r="C121" s="13" t="s">
        <v>18</v>
      </c>
      <c r="D121" s="66"/>
      <c r="E121" s="66"/>
      <c r="F121" s="66"/>
      <c r="G121" s="66"/>
      <c r="H121" s="15">
        <v>120</v>
      </c>
      <c r="I121" s="15">
        <v>45</v>
      </c>
      <c r="J121" s="3">
        <v>0.5</v>
      </c>
      <c r="K121" s="15">
        <f t="shared" si="8"/>
        <v>15</v>
      </c>
      <c r="L121" s="17">
        <v>1</v>
      </c>
      <c r="M121" s="15">
        <f t="shared" si="9"/>
        <v>0.5</v>
      </c>
      <c r="N121" s="15">
        <f t="shared" si="10"/>
        <v>15</v>
      </c>
      <c r="O121" s="3">
        <v>1</v>
      </c>
      <c r="P121" s="15">
        <f t="shared" si="11"/>
        <v>30</v>
      </c>
      <c r="Q121" s="38">
        <v>3</v>
      </c>
      <c r="R121" s="15">
        <f t="shared" si="12"/>
        <v>3</v>
      </c>
      <c r="S121" s="15">
        <f t="shared" si="13"/>
        <v>90</v>
      </c>
      <c r="T121" s="4">
        <f t="shared" si="14"/>
        <v>3.5</v>
      </c>
      <c r="U121" s="3">
        <f t="shared" si="15"/>
        <v>105</v>
      </c>
      <c r="V121" s="19"/>
    </row>
    <row r="122" spans="1:22" x14ac:dyDescent="0.3">
      <c r="B122" s="62" t="s">
        <v>329</v>
      </c>
      <c r="C122" s="13" t="s">
        <v>17</v>
      </c>
      <c r="D122" s="64">
        <v>92</v>
      </c>
      <c r="E122" s="64">
        <v>12</v>
      </c>
      <c r="F122" s="64" t="s">
        <v>328</v>
      </c>
      <c r="G122" s="64">
        <v>5</v>
      </c>
      <c r="H122" s="15">
        <v>150</v>
      </c>
      <c r="I122" s="15">
        <v>45</v>
      </c>
      <c r="J122" s="3">
        <v>0.5</v>
      </c>
      <c r="K122" s="15">
        <f t="shared" si="8"/>
        <v>15</v>
      </c>
      <c r="L122" s="17">
        <v>1</v>
      </c>
      <c r="M122" s="15">
        <f t="shared" si="9"/>
        <v>0.5</v>
      </c>
      <c r="N122" s="15">
        <f t="shared" si="10"/>
        <v>15</v>
      </c>
      <c r="O122" s="3">
        <v>1</v>
      </c>
      <c r="P122" s="15">
        <f t="shared" si="11"/>
        <v>30</v>
      </c>
      <c r="Q122" s="38">
        <v>4</v>
      </c>
      <c r="R122" s="15">
        <f t="shared" si="12"/>
        <v>4</v>
      </c>
      <c r="S122" s="15">
        <f t="shared" si="13"/>
        <v>120</v>
      </c>
      <c r="T122" s="4">
        <f t="shared" si="14"/>
        <v>4.5</v>
      </c>
      <c r="U122" s="3">
        <f t="shared" si="15"/>
        <v>135</v>
      </c>
      <c r="V122" s="19"/>
    </row>
    <row r="123" spans="1:22" x14ac:dyDescent="0.3">
      <c r="B123" s="63"/>
      <c r="C123" s="13" t="s">
        <v>18</v>
      </c>
      <c r="D123" s="65"/>
      <c r="E123" s="65"/>
      <c r="F123" s="65"/>
      <c r="G123" s="66"/>
      <c r="H123" s="15">
        <v>150</v>
      </c>
      <c r="I123" s="15">
        <v>45</v>
      </c>
      <c r="J123" s="3">
        <v>0.5</v>
      </c>
      <c r="K123" s="15">
        <f t="shared" si="8"/>
        <v>15</v>
      </c>
      <c r="L123" s="17">
        <v>1</v>
      </c>
      <c r="M123" s="15">
        <f t="shared" si="9"/>
        <v>0.5</v>
      </c>
      <c r="N123" s="15">
        <f t="shared" si="10"/>
        <v>15</v>
      </c>
      <c r="O123" s="3">
        <v>1</v>
      </c>
      <c r="P123" s="15">
        <f t="shared" si="11"/>
        <v>30</v>
      </c>
      <c r="Q123" s="38">
        <v>1</v>
      </c>
      <c r="R123" s="15">
        <f t="shared" si="12"/>
        <v>1</v>
      </c>
      <c r="S123" s="15">
        <f t="shared" si="13"/>
        <v>30</v>
      </c>
      <c r="T123" s="4">
        <f t="shared" si="14"/>
        <v>1.5</v>
      </c>
      <c r="U123" s="3">
        <f t="shared" si="15"/>
        <v>45</v>
      </c>
      <c r="V123" s="19"/>
    </row>
    <row r="124" spans="1:22" x14ac:dyDescent="0.3">
      <c r="B124" s="62" t="s">
        <v>330</v>
      </c>
      <c r="C124" s="13" t="s">
        <v>17</v>
      </c>
      <c r="D124" s="65"/>
      <c r="E124" s="65"/>
      <c r="F124" s="65"/>
      <c r="G124" s="64">
        <v>6</v>
      </c>
      <c r="H124" s="15">
        <v>180</v>
      </c>
      <c r="I124" s="15">
        <v>60</v>
      </c>
      <c r="J124" s="3">
        <v>1</v>
      </c>
      <c r="K124" s="15">
        <f t="shared" si="8"/>
        <v>30</v>
      </c>
      <c r="L124" s="17">
        <v>1</v>
      </c>
      <c r="M124" s="15">
        <f t="shared" si="9"/>
        <v>1</v>
      </c>
      <c r="N124" s="15">
        <f t="shared" si="10"/>
        <v>30</v>
      </c>
      <c r="O124" s="3">
        <v>1</v>
      </c>
      <c r="P124" s="15">
        <f t="shared" si="11"/>
        <v>30</v>
      </c>
      <c r="Q124" s="38">
        <v>4</v>
      </c>
      <c r="R124" s="15">
        <f t="shared" si="12"/>
        <v>4</v>
      </c>
      <c r="S124" s="15">
        <f t="shared" si="13"/>
        <v>120</v>
      </c>
      <c r="T124" s="4">
        <f t="shared" si="14"/>
        <v>5</v>
      </c>
      <c r="U124" s="3">
        <f t="shared" si="15"/>
        <v>150</v>
      </c>
      <c r="V124" s="19"/>
    </row>
    <row r="125" spans="1:22" x14ac:dyDescent="0.3">
      <c r="B125" s="63"/>
      <c r="C125" s="13" t="s">
        <v>18</v>
      </c>
      <c r="D125" s="65"/>
      <c r="E125" s="65"/>
      <c r="F125" s="65"/>
      <c r="G125" s="66"/>
      <c r="H125" s="15">
        <v>180</v>
      </c>
      <c r="I125" s="15">
        <v>60</v>
      </c>
      <c r="J125" s="3">
        <v>1</v>
      </c>
      <c r="K125" s="15">
        <f t="shared" si="8"/>
        <v>30</v>
      </c>
      <c r="L125" s="17">
        <v>1</v>
      </c>
      <c r="M125" s="15">
        <f t="shared" si="9"/>
        <v>1</v>
      </c>
      <c r="N125" s="15">
        <f t="shared" si="10"/>
        <v>30</v>
      </c>
      <c r="O125" s="3">
        <v>1</v>
      </c>
      <c r="P125" s="15">
        <f t="shared" si="11"/>
        <v>30</v>
      </c>
      <c r="Q125" s="38">
        <v>1</v>
      </c>
      <c r="R125" s="15">
        <f t="shared" si="12"/>
        <v>1</v>
      </c>
      <c r="S125" s="15">
        <f t="shared" si="13"/>
        <v>30</v>
      </c>
      <c r="T125" s="4">
        <f t="shared" si="14"/>
        <v>2</v>
      </c>
      <c r="U125" s="3">
        <f t="shared" si="15"/>
        <v>60</v>
      </c>
      <c r="V125" s="19"/>
    </row>
    <row r="126" spans="1:22" ht="26.55" customHeight="1" x14ac:dyDescent="0.3">
      <c r="B126" s="62" t="s">
        <v>331</v>
      </c>
      <c r="C126" s="13" t="s">
        <v>17</v>
      </c>
      <c r="D126" s="65"/>
      <c r="E126" s="65"/>
      <c r="F126" s="65"/>
      <c r="G126" s="64">
        <v>5</v>
      </c>
      <c r="H126" s="15">
        <v>150</v>
      </c>
      <c r="I126" s="15">
        <v>45</v>
      </c>
      <c r="J126" s="3">
        <v>0.5</v>
      </c>
      <c r="K126" s="15">
        <f t="shared" si="8"/>
        <v>15</v>
      </c>
      <c r="L126" s="17">
        <v>1</v>
      </c>
      <c r="M126" s="15">
        <f t="shared" si="9"/>
        <v>0.5</v>
      </c>
      <c r="N126" s="15">
        <f t="shared" si="10"/>
        <v>15</v>
      </c>
      <c r="O126" s="3">
        <v>1</v>
      </c>
      <c r="P126" s="15">
        <f t="shared" si="11"/>
        <v>30</v>
      </c>
      <c r="Q126" s="38">
        <v>4</v>
      </c>
      <c r="R126" s="15">
        <f t="shared" si="12"/>
        <v>4</v>
      </c>
      <c r="S126" s="15">
        <f t="shared" si="13"/>
        <v>120</v>
      </c>
      <c r="T126" s="4">
        <f t="shared" si="14"/>
        <v>4.5</v>
      </c>
      <c r="U126" s="3">
        <f t="shared" si="15"/>
        <v>135</v>
      </c>
      <c r="V126" s="19"/>
    </row>
    <row r="127" spans="1:22" ht="28.2" customHeight="1" x14ac:dyDescent="0.3">
      <c r="B127" s="63"/>
      <c r="C127" s="13" t="s">
        <v>18</v>
      </c>
      <c r="D127" s="65"/>
      <c r="E127" s="65"/>
      <c r="F127" s="65"/>
      <c r="G127" s="66"/>
      <c r="H127" s="15">
        <v>150</v>
      </c>
      <c r="I127" s="15">
        <v>45</v>
      </c>
      <c r="J127" s="3">
        <v>0.5</v>
      </c>
      <c r="K127" s="15">
        <f t="shared" si="8"/>
        <v>15</v>
      </c>
      <c r="L127" s="17">
        <v>1</v>
      </c>
      <c r="M127" s="15">
        <f t="shared" si="9"/>
        <v>0.5</v>
      </c>
      <c r="N127" s="15">
        <f t="shared" si="10"/>
        <v>15</v>
      </c>
      <c r="O127" s="3">
        <v>1</v>
      </c>
      <c r="P127" s="15">
        <f t="shared" si="11"/>
        <v>30</v>
      </c>
      <c r="Q127" s="38">
        <v>1</v>
      </c>
      <c r="R127" s="15">
        <f t="shared" si="12"/>
        <v>1</v>
      </c>
      <c r="S127" s="15">
        <f t="shared" si="13"/>
        <v>30</v>
      </c>
      <c r="T127" s="4">
        <f t="shared" si="14"/>
        <v>1.5</v>
      </c>
      <c r="U127" s="3">
        <f t="shared" si="15"/>
        <v>45</v>
      </c>
      <c r="V127" s="19"/>
    </row>
    <row r="128" spans="1:22" ht="37.950000000000003" customHeight="1" x14ac:dyDescent="0.35">
      <c r="A128" s="8"/>
      <c r="B128" s="62" t="s">
        <v>332</v>
      </c>
      <c r="C128" s="13" t="s">
        <v>17</v>
      </c>
      <c r="D128" s="65"/>
      <c r="E128" s="65"/>
      <c r="F128" s="65"/>
      <c r="G128" s="87">
        <v>5</v>
      </c>
      <c r="H128" s="15">
        <v>150</v>
      </c>
      <c r="I128" s="15">
        <v>45</v>
      </c>
      <c r="J128" s="3">
        <v>0.5</v>
      </c>
      <c r="K128" s="15">
        <f t="shared" si="8"/>
        <v>15</v>
      </c>
      <c r="L128" s="17">
        <v>1</v>
      </c>
      <c r="M128" s="15">
        <f t="shared" si="9"/>
        <v>0.5</v>
      </c>
      <c r="N128" s="15">
        <f t="shared" si="10"/>
        <v>15</v>
      </c>
      <c r="O128" s="3">
        <v>1</v>
      </c>
      <c r="P128" s="15">
        <f t="shared" si="11"/>
        <v>30</v>
      </c>
      <c r="Q128" s="38">
        <v>4</v>
      </c>
      <c r="R128" s="15">
        <f t="shared" si="12"/>
        <v>4</v>
      </c>
      <c r="S128" s="15">
        <f t="shared" si="13"/>
        <v>120</v>
      </c>
      <c r="T128" s="4">
        <f t="shared" si="14"/>
        <v>4.5</v>
      </c>
      <c r="U128" s="3">
        <f t="shared" si="15"/>
        <v>135</v>
      </c>
      <c r="V128" s="10"/>
    </row>
    <row r="129" spans="1:22" ht="35.549999999999997" customHeight="1" x14ac:dyDescent="0.35">
      <c r="A129" s="8"/>
      <c r="B129" s="63"/>
      <c r="C129" s="13" t="s">
        <v>18</v>
      </c>
      <c r="D129" s="66"/>
      <c r="E129" s="66"/>
      <c r="F129" s="66"/>
      <c r="G129" s="88"/>
      <c r="H129" s="15">
        <v>150</v>
      </c>
      <c r="I129" s="15">
        <v>45</v>
      </c>
      <c r="J129" s="3">
        <v>0.5</v>
      </c>
      <c r="K129" s="15">
        <f t="shared" si="8"/>
        <v>15</v>
      </c>
      <c r="L129" s="17">
        <v>1</v>
      </c>
      <c r="M129" s="15">
        <f t="shared" si="9"/>
        <v>0.5</v>
      </c>
      <c r="N129" s="15">
        <f t="shared" si="10"/>
        <v>15</v>
      </c>
      <c r="O129" s="3">
        <v>1</v>
      </c>
      <c r="P129" s="15">
        <f t="shared" si="11"/>
        <v>30</v>
      </c>
      <c r="Q129" s="17">
        <v>1</v>
      </c>
      <c r="R129" s="15">
        <f t="shared" si="12"/>
        <v>1</v>
      </c>
      <c r="S129" s="15">
        <f t="shared" si="13"/>
        <v>30</v>
      </c>
      <c r="T129" s="4">
        <f t="shared" si="14"/>
        <v>1.5</v>
      </c>
      <c r="U129" s="3">
        <f t="shared" si="15"/>
        <v>45</v>
      </c>
      <c r="V129" s="20"/>
    </row>
    <row r="130" spans="1:22" x14ac:dyDescent="0.35">
      <c r="A130" s="8"/>
      <c r="B130" s="14" t="s">
        <v>194</v>
      </c>
      <c r="C130" s="64" t="s">
        <v>17</v>
      </c>
      <c r="D130" s="64">
        <v>75</v>
      </c>
      <c r="E130" s="64"/>
      <c r="F130" s="64" t="s">
        <v>28</v>
      </c>
      <c r="G130" s="16">
        <v>3</v>
      </c>
      <c r="H130" s="15">
        <v>90</v>
      </c>
      <c r="I130" s="15">
        <v>30</v>
      </c>
      <c r="J130" s="3">
        <v>0.5</v>
      </c>
      <c r="K130" s="15">
        <f t="shared" si="8"/>
        <v>15</v>
      </c>
      <c r="L130" s="17">
        <v>1</v>
      </c>
      <c r="M130" s="15">
        <f t="shared" si="9"/>
        <v>0.5</v>
      </c>
      <c r="N130" s="15">
        <f t="shared" si="10"/>
        <v>15</v>
      </c>
      <c r="O130" s="3">
        <v>0.5</v>
      </c>
      <c r="P130" s="15">
        <f t="shared" si="11"/>
        <v>15</v>
      </c>
      <c r="Q130" s="9">
        <v>3</v>
      </c>
      <c r="R130" s="15">
        <f t="shared" si="12"/>
        <v>1.5</v>
      </c>
      <c r="S130" s="15">
        <f t="shared" si="13"/>
        <v>45</v>
      </c>
      <c r="T130" s="4">
        <f t="shared" si="14"/>
        <v>2</v>
      </c>
      <c r="U130" s="3">
        <f t="shared" si="15"/>
        <v>60</v>
      </c>
      <c r="V130" s="10"/>
    </row>
    <row r="131" spans="1:22" ht="36" x14ac:dyDescent="0.3">
      <c r="A131" s="7"/>
      <c r="B131" s="14" t="s">
        <v>336</v>
      </c>
      <c r="C131" s="65"/>
      <c r="D131" s="65"/>
      <c r="E131" s="65"/>
      <c r="F131" s="65"/>
      <c r="G131" s="12">
        <v>5</v>
      </c>
      <c r="H131" s="15">
        <v>150</v>
      </c>
      <c r="I131" s="15">
        <v>45</v>
      </c>
      <c r="J131" s="3">
        <v>0.5</v>
      </c>
      <c r="K131" s="15">
        <f t="shared" si="8"/>
        <v>15</v>
      </c>
      <c r="L131" s="17">
        <v>1</v>
      </c>
      <c r="M131" s="15">
        <f t="shared" si="9"/>
        <v>0.5</v>
      </c>
      <c r="N131" s="15">
        <f t="shared" si="10"/>
        <v>15</v>
      </c>
      <c r="O131" s="3">
        <v>1</v>
      </c>
      <c r="P131" s="15">
        <f t="shared" si="11"/>
        <v>30</v>
      </c>
      <c r="Q131" s="17">
        <v>3</v>
      </c>
      <c r="R131" s="15">
        <f t="shared" si="12"/>
        <v>3</v>
      </c>
      <c r="S131" s="15">
        <f t="shared" si="13"/>
        <v>90</v>
      </c>
      <c r="T131" s="4">
        <f t="shared" si="14"/>
        <v>3.5</v>
      </c>
      <c r="U131" s="3">
        <f t="shared" si="15"/>
        <v>105</v>
      </c>
      <c r="V131" s="19"/>
    </row>
    <row r="132" spans="1:22" x14ac:dyDescent="0.3">
      <c r="A132" s="7"/>
      <c r="B132" s="14" t="s">
        <v>337</v>
      </c>
      <c r="C132" s="65"/>
      <c r="D132" s="65"/>
      <c r="E132" s="65"/>
      <c r="F132" s="65"/>
      <c r="G132" s="12">
        <v>4</v>
      </c>
      <c r="H132" s="15">
        <v>120</v>
      </c>
      <c r="I132" s="15">
        <v>45</v>
      </c>
      <c r="J132" s="3">
        <v>0.5</v>
      </c>
      <c r="K132" s="15">
        <f t="shared" si="8"/>
        <v>15</v>
      </c>
      <c r="L132" s="17">
        <v>1</v>
      </c>
      <c r="M132" s="15">
        <f t="shared" si="9"/>
        <v>0.5</v>
      </c>
      <c r="N132" s="15">
        <f t="shared" si="10"/>
        <v>15</v>
      </c>
      <c r="O132" s="3">
        <v>1</v>
      </c>
      <c r="P132" s="15">
        <f t="shared" si="11"/>
        <v>30</v>
      </c>
      <c r="Q132" s="17">
        <v>3</v>
      </c>
      <c r="R132" s="15">
        <f t="shared" si="12"/>
        <v>3</v>
      </c>
      <c r="S132" s="15">
        <f t="shared" si="13"/>
        <v>90</v>
      </c>
      <c r="T132" s="4">
        <f t="shared" si="14"/>
        <v>3.5</v>
      </c>
      <c r="U132" s="3">
        <f t="shared" si="15"/>
        <v>105</v>
      </c>
      <c r="V132" s="19"/>
    </row>
    <row r="133" spans="1:22" ht="54" x14ac:dyDescent="0.3">
      <c r="A133" s="7"/>
      <c r="B133" s="14" t="s">
        <v>338</v>
      </c>
      <c r="C133" s="65"/>
      <c r="D133" s="65"/>
      <c r="E133" s="65"/>
      <c r="F133" s="65"/>
      <c r="G133" s="12">
        <v>5</v>
      </c>
      <c r="H133" s="15">
        <v>150</v>
      </c>
      <c r="I133" s="15">
        <v>45</v>
      </c>
      <c r="J133" s="3">
        <v>0.5</v>
      </c>
      <c r="K133" s="15">
        <f t="shared" si="8"/>
        <v>15</v>
      </c>
      <c r="L133" s="17">
        <v>1</v>
      </c>
      <c r="M133" s="15">
        <f t="shared" si="9"/>
        <v>0.5</v>
      </c>
      <c r="N133" s="15">
        <f t="shared" si="10"/>
        <v>15</v>
      </c>
      <c r="O133" s="3">
        <v>1</v>
      </c>
      <c r="P133" s="15">
        <f t="shared" si="11"/>
        <v>30</v>
      </c>
      <c r="Q133" s="17">
        <v>3</v>
      </c>
      <c r="R133" s="15">
        <f t="shared" si="12"/>
        <v>3</v>
      </c>
      <c r="S133" s="15">
        <f t="shared" si="13"/>
        <v>90</v>
      </c>
      <c r="T133" s="4">
        <f t="shared" si="14"/>
        <v>3.5</v>
      </c>
      <c r="U133" s="3">
        <f t="shared" si="15"/>
        <v>105</v>
      </c>
      <c r="V133" s="19"/>
    </row>
    <row r="134" spans="1:22" ht="72" x14ac:dyDescent="0.3">
      <c r="A134" s="7"/>
      <c r="B134" s="14" t="s">
        <v>198</v>
      </c>
      <c r="C134" s="66"/>
      <c r="D134" s="65"/>
      <c r="E134" s="65"/>
      <c r="F134" s="65"/>
      <c r="G134" s="12">
        <v>3</v>
      </c>
      <c r="H134" s="15">
        <v>90</v>
      </c>
      <c r="I134" s="15">
        <v>30</v>
      </c>
      <c r="J134" s="3">
        <v>0.5</v>
      </c>
      <c r="K134" s="15">
        <f t="shared" ref="K134:K161" si="16">J134*30</f>
        <v>15</v>
      </c>
      <c r="L134" s="17">
        <v>1</v>
      </c>
      <c r="M134" s="15">
        <f t="shared" ref="M134:M161" si="17">J134*L134</f>
        <v>0.5</v>
      </c>
      <c r="N134" s="15">
        <f t="shared" ref="N134:N161" si="18">K134*L134</f>
        <v>15</v>
      </c>
      <c r="O134" s="3">
        <v>0.5</v>
      </c>
      <c r="P134" s="15">
        <f t="shared" ref="P134:P161" si="19">O134*30</f>
        <v>15</v>
      </c>
      <c r="Q134" s="17">
        <v>3</v>
      </c>
      <c r="R134" s="15">
        <f t="shared" ref="R134:R161" si="20">O134*Q134</f>
        <v>1.5</v>
      </c>
      <c r="S134" s="15">
        <f t="shared" ref="S134:S161" si="21">P134*Q134</f>
        <v>45</v>
      </c>
      <c r="T134" s="4">
        <f t="shared" ref="T134:T161" si="22">M134+R134</f>
        <v>2</v>
      </c>
      <c r="U134" s="3">
        <f t="shared" ref="U134:U161" si="23">N134+S134</f>
        <v>60</v>
      </c>
      <c r="V134" s="19"/>
    </row>
    <row r="135" spans="1:22" ht="36" x14ac:dyDescent="0.3">
      <c r="A135" s="7"/>
      <c r="B135" s="14" t="s">
        <v>345</v>
      </c>
      <c r="C135" s="64" t="s">
        <v>18</v>
      </c>
      <c r="D135" s="64"/>
      <c r="E135" s="64">
        <v>48</v>
      </c>
      <c r="F135" s="64" t="s">
        <v>344</v>
      </c>
      <c r="G135" s="12">
        <v>4</v>
      </c>
      <c r="H135" s="15">
        <v>120</v>
      </c>
      <c r="I135" s="15">
        <v>45</v>
      </c>
      <c r="J135" s="3">
        <v>0.5</v>
      </c>
      <c r="K135" s="15">
        <f t="shared" si="16"/>
        <v>15</v>
      </c>
      <c r="L135" s="17">
        <v>1</v>
      </c>
      <c r="M135" s="15">
        <f t="shared" si="17"/>
        <v>0.5</v>
      </c>
      <c r="N135" s="15">
        <f t="shared" si="18"/>
        <v>15</v>
      </c>
      <c r="O135" s="3">
        <v>1</v>
      </c>
      <c r="P135" s="15">
        <f t="shared" si="19"/>
        <v>30</v>
      </c>
      <c r="Q135" s="17">
        <v>2</v>
      </c>
      <c r="R135" s="15">
        <f t="shared" si="20"/>
        <v>2</v>
      </c>
      <c r="S135" s="15">
        <f t="shared" si="21"/>
        <v>60</v>
      </c>
      <c r="T135" s="4">
        <f t="shared" si="22"/>
        <v>2.5</v>
      </c>
      <c r="U135" s="3">
        <f t="shared" si="23"/>
        <v>75</v>
      </c>
      <c r="V135" s="19"/>
    </row>
    <row r="136" spans="1:22" ht="36" x14ac:dyDescent="0.3">
      <c r="A136" s="7"/>
      <c r="B136" s="14" t="s">
        <v>346</v>
      </c>
      <c r="C136" s="65"/>
      <c r="D136" s="65"/>
      <c r="E136" s="65"/>
      <c r="F136" s="65"/>
      <c r="G136" s="12">
        <v>4</v>
      </c>
      <c r="H136" s="15">
        <v>120</v>
      </c>
      <c r="I136" s="15">
        <v>45</v>
      </c>
      <c r="J136" s="3">
        <v>0.5</v>
      </c>
      <c r="K136" s="15">
        <f t="shared" si="16"/>
        <v>15</v>
      </c>
      <c r="L136" s="17">
        <v>1</v>
      </c>
      <c r="M136" s="15">
        <f t="shared" si="17"/>
        <v>0.5</v>
      </c>
      <c r="N136" s="15">
        <f t="shared" si="18"/>
        <v>15</v>
      </c>
      <c r="O136" s="3">
        <v>1</v>
      </c>
      <c r="P136" s="15">
        <f t="shared" si="19"/>
        <v>30</v>
      </c>
      <c r="Q136" s="17">
        <v>2</v>
      </c>
      <c r="R136" s="15">
        <f t="shared" si="20"/>
        <v>2</v>
      </c>
      <c r="S136" s="15">
        <f t="shared" si="21"/>
        <v>60</v>
      </c>
      <c r="T136" s="4">
        <f t="shared" si="22"/>
        <v>2.5</v>
      </c>
      <c r="U136" s="3">
        <f t="shared" si="23"/>
        <v>75</v>
      </c>
      <c r="V136" s="19"/>
    </row>
    <row r="137" spans="1:22" ht="72" x14ac:dyDescent="0.3">
      <c r="A137" s="7"/>
      <c r="B137" s="14" t="s">
        <v>347</v>
      </c>
      <c r="C137" s="65"/>
      <c r="D137" s="65"/>
      <c r="E137" s="65"/>
      <c r="F137" s="65"/>
      <c r="G137" s="12">
        <v>5</v>
      </c>
      <c r="H137" s="15">
        <v>150</v>
      </c>
      <c r="I137" s="15">
        <v>45</v>
      </c>
      <c r="J137" s="3">
        <v>0.5</v>
      </c>
      <c r="K137" s="15">
        <f t="shared" si="16"/>
        <v>15</v>
      </c>
      <c r="L137" s="17">
        <v>1</v>
      </c>
      <c r="M137" s="15">
        <f t="shared" si="17"/>
        <v>0.5</v>
      </c>
      <c r="N137" s="15">
        <f t="shared" si="18"/>
        <v>15</v>
      </c>
      <c r="O137" s="3">
        <v>1</v>
      </c>
      <c r="P137" s="15">
        <f t="shared" si="19"/>
        <v>30</v>
      </c>
      <c r="Q137" s="17">
        <v>2</v>
      </c>
      <c r="R137" s="15">
        <f t="shared" si="20"/>
        <v>2</v>
      </c>
      <c r="S137" s="15">
        <f t="shared" si="21"/>
        <v>60</v>
      </c>
      <c r="T137" s="4">
        <f t="shared" si="22"/>
        <v>2.5</v>
      </c>
      <c r="U137" s="3">
        <f t="shared" si="23"/>
        <v>75</v>
      </c>
      <c r="V137" s="19"/>
    </row>
    <row r="138" spans="1:22" ht="72" x14ac:dyDescent="0.3">
      <c r="B138" s="14" t="s">
        <v>348</v>
      </c>
      <c r="C138" s="65"/>
      <c r="D138" s="65"/>
      <c r="E138" s="65"/>
      <c r="F138" s="65"/>
      <c r="G138" s="12">
        <v>5</v>
      </c>
      <c r="H138" s="15">
        <v>150</v>
      </c>
      <c r="I138" s="15">
        <v>45</v>
      </c>
      <c r="J138" s="3">
        <v>0.5</v>
      </c>
      <c r="K138" s="15">
        <f t="shared" si="16"/>
        <v>15</v>
      </c>
      <c r="L138" s="17">
        <v>1</v>
      </c>
      <c r="M138" s="15">
        <f t="shared" si="17"/>
        <v>0.5</v>
      </c>
      <c r="N138" s="15">
        <f t="shared" si="18"/>
        <v>15</v>
      </c>
      <c r="O138" s="3">
        <v>1</v>
      </c>
      <c r="P138" s="15">
        <f t="shared" si="19"/>
        <v>30</v>
      </c>
      <c r="Q138" s="17">
        <v>2</v>
      </c>
      <c r="R138" s="15">
        <f t="shared" si="20"/>
        <v>2</v>
      </c>
      <c r="S138" s="15">
        <f t="shared" si="21"/>
        <v>60</v>
      </c>
      <c r="T138" s="4">
        <f t="shared" si="22"/>
        <v>2.5</v>
      </c>
      <c r="U138" s="3">
        <f t="shared" si="23"/>
        <v>75</v>
      </c>
      <c r="V138" s="19"/>
    </row>
    <row r="139" spans="1:22" ht="54" x14ac:dyDescent="0.3">
      <c r="B139" s="14" t="s">
        <v>349</v>
      </c>
      <c r="C139" s="66"/>
      <c r="D139" s="66"/>
      <c r="E139" s="66"/>
      <c r="F139" s="66"/>
      <c r="G139" s="12">
        <v>5</v>
      </c>
      <c r="H139" s="15">
        <v>150</v>
      </c>
      <c r="I139" s="15">
        <v>45</v>
      </c>
      <c r="J139" s="3">
        <v>0.5</v>
      </c>
      <c r="K139" s="15">
        <f t="shared" si="16"/>
        <v>15</v>
      </c>
      <c r="L139" s="17">
        <v>1</v>
      </c>
      <c r="M139" s="15">
        <f t="shared" si="17"/>
        <v>0.5</v>
      </c>
      <c r="N139" s="15">
        <f t="shared" si="18"/>
        <v>15</v>
      </c>
      <c r="O139" s="3">
        <v>1</v>
      </c>
      <c r="P139" s="15">
        <f t="shared" si="19"/>
        <v>30</v>
      </c>
      <c r="Q139" s="17">
        <v>2</v>
      </c>
      <c r="R139" s="15">
        <f t="shared" si="20"/>
        <v>2</v>
      </c>
      <c r="S139" s="15">
        <f t="shared" si="21"/>
        <v>60</v>
      </c>
      <c r="T139" s="4">
        <f t="shared" si="22"/>
        <v>2.5</v>
      </c>
      <c r="U139" s="3">
        <f t="shared" si="23"/>
        <v>75</v>
      </c>
      <c r="V139" s="19"/>
    </row>
    <row r="140" spans="1:22" ht="36" x14ac:dyDescent="0.3">
      <c r="B140" s="14" t="s">
        <v>355</v>
      </c>
      <c r="C140" s="64" t="s">
        <v>18</v>
      </c>
      <c r="D140" s="64"/>
      <c r="E140" s="64">
        <v>62</v>
      </c>
      <c r="F140" s="64" t="s">
        <v>354</v>
      </c>
      <c r="G140" s="12">
        <v>5</v>
      </c>
      <c r="H140" s="15">
        <v>150</v>
      </c>
      <c r="I140" s="15">
        <v>45</v>
      </c>
      <c r="J140" s="3">
        <v>0.5</v>
      </c>
      <c r="K140" s="15">
        <f t="shared" si="16"/>
        <v>15</v>
      </c>
      <c r="L140" s="17">
        <v>1</v>
      </c>
      <c r="M140" s="15">
        <f t="shared" si="17"/>
        <v>0.5</v>
      </c>
      <c r="N140" s="15">
        <f t="shared" si="18"/>
        <v>15</v>
      </c>
      <c r="O140" s="3">
        <v>1</v>
      </c>
      <c r="P140" s="15">
        <f t="shared" si="19"/>
        <v>30</v>
      </c>
      <c r="Q140" s="17">
        <v>3</v>
      </c>
      <c r="R140" s="15">
        <f t="shared" si="20"/>
        <v>3</v>
      </c>
      <c r="S140" s="15">
        <f t="shared" si="21"/>
        <v>90</v>
      </c>
      <c r="T140" s="4">
        <f t="shared" si="22"/>
        <v>3.5</v>
      </c>
      <c r="U140" s="3">
        <f t="shared" si="23"/>
        <v>105</v>
      </c>
      <c r="V140" s="19"/>
    </row>
    <row r="141" spans="1:22" ht="54" x14ac:dyDescent="0.3">
      <c r="B141" s="14" t="s">
        <v>356</v>
      </c>
      <c r="C141" s="65"/>
      <c r="D141" s="65"/>
      <c r="E141" s="65"/>
      <c r="F141" s="65"/>
      <c r="G141" s="12">
        <v>5</v>
      </c>
      <c r="H141" s="15">
        <v>150</v>
      </c>
      <c r="I141" s="15">
        <v>45</v>
      </c>
      <c r="J141" s="3">
        <v>0.5</v>
      </c>
      <c r="K141" s="15">
        <f t="shared" si="16"/>
        <v>15</v>
      </c>
      <c r="L141" s="17">
        <v>1</v>
      </c>
      <c r="M141" s="15">
        <f t="shared" si="17"/>
        <v>0.5</v>
      </c>
      <c r="N141" s="15">
        <f t="shared" si="18"/>
        <v>15</v>
      </c>
      <c r="O141" s="3">
        <v>1</v>
      </c>
      <c r="P141" s="15">
        <f t="shared" si="19"/>
        <v>30</v>
      </c>
      <c r="Q141" s="17">
        <v>3</v>
      </c>
      <c r="R141" s="15">
        <f t="shared" si="20"/>
        <v>3</v>
      </c>
      <c r="S141" s="15">
        <f t="shared" si="21"/>
        <v>90</v>
      </c>
      <c r="T141" s="4">
        <f t="shared" si="22"/>
        <v>3.5</v>
      </c>
      <c r="U141" s="3">
        <f t="shared" si="23"/>
        <v>105</v>
      </c>
      <c r="V141" s="19"/>
    </row>
    <row r="142" spans="1:22" x14ac:dyDescent="0.35">
      <c r="A142" s="8"/>
      <c r="B142" s="14" t="s">
        <v>357</v>
      </c>
      <c r="C142" s="65"/>
      <c r="D142" s="65"/>
      <c r="E142" s="65"/>
      <c r="F142" s="65"/>
      <c r="G142" s="16">
        <v>5</v>
      </c>
      <c r="H142" s="15">
        <v>150</v>
      </c>
      <c r="I142" s="15">
        <v>45</v>
      </c>
      <c r="J142" s="3">
        <v>0</v>
      </c>
      <c r="K142" s="15">
        <f t="shared" si="16"/>
        <v>0</v>
      </c>
      <c r="L142" s="17">
        <v>0</v>
      </c>
      <c r="M142" s="15">
        <f t="shared" si="17"/>
        <v>0</v>
      </c>
      <c r="N142" s="15">
        <f t="shared" si="18"/>
        <v>0</v>
      </c>
      <c r="O142" s="3">
        <v>1.5</v>
      </c>
      <c r="P142" s="15">
        <f t="shared" si="19"/>
        <v>45</v>
      </c>
      <c r="Q142" s="9">
        <v>3</v>
      </c>
      <c r="R142" s="15">
        <f t="shared" si="20"/>
        <v>4.5</v>
      </c>
      <c r="S142" s="15">
        <f t="shared" si="21"/>
        <v>135</v>
      </c>
      <c r="T142" s="4">
        <f t="shared" si="22"/>
        <v>4.5</v>
      </c>
      <c r="U142" s="3">
        <f t="shared" si="23"/>
        <v>135</v>
      </c>
      <c r="V142" s="10"/>
    </row>
    <row r="143" spans="1:22" ht="36" x14ac:dyDescent="0.35">
      <c r="A143" s="8"/>
      <c r="B143" s="14" t="s">
        <v>358</v>
      </c>
      <c r="C143" s="65"/>
      <c r="D143" s="65"/>
      <c r="E143" s="65"/>
      <c r="F143" s="65"/>
      <c r="G143" s="16">
        <v>3</v>
      </c>
      <c r="H143" s="15">
        <v>90</v>
      </c>
      <c r="I143" s="15">
        <v>30</v>
      </c>
      <c r="J143" s="3">
        <v>0.5</v>
      </c>
      <c r="K143" s="15">
        <f t="shared" si="16"/>
        <v>15</v>
      </c>
      <c r="L143" s="9">
        <v>1</v>
      </c>
      <c r="M143" s="15">
        <f t="shared" si="17"/>
        <v>0.5</v>
      </c>
      <c r="N143" s="15">
        <f t="shared" si="18"/>
        <v>15</v>
      </c>
      <c r="O143" s="3">
        <v>0.5</v>
      </c>
      <c r="P143" s="15">
        <f t="shared" si="19"/>
        <v>15</v>
      </c>
      <c r="Q143" s="9">
        <v>3</v>
      </c>
      <c r="R143" s="15">
        <f t="shared" si="20"/>
        <v>1.5</v>
      </c>
      <c r="S143" s="15">
        <f t="shared" si="21"/>
        <v>45</v>
      </c>
      <c r="T143" s="4">
        <f t="shared" si="22"/>
        <v>2</v>
      </c>
      <c r="U143" s="3">
        <f t="shared" si="23"/>
        <v>60</v>
      </c>
      <c r="V143" s="10"/>
    </row>
    <row r="144" spans="1:22" x14ac:dyDescent="0.3">
      <c r="A144" s="7"/>
      <c r="B144" s="14" t="s">
        <v>359</v>
      </c>
      <c r="C144" s="65"/>
      <c r="D144" s="65"/>
      <c r="E144" s="65"/>
      <c r="F144" s="65"/>
      <c r="G144" s="12">
        <v>4</v>
      </c>
      <c r="H144" s="15">
        <v>120</v>
      </c>
      <c r="I144" s="15">
        <v>45</v>
      </c>
      <c r="J144" s="3">
        <v>0.5</v>
      </c>
      <c r="K144" s="15">
        <f t="shared" si="16"/>
        <v>15</v>
      </c>
      <c r="L144" s="17">
        <v>1</v>
      </c>
      <c r="M144" s="15">
        <f t="shared" si="17"/>
        <v>0.5</v>
      </c>
      <c r="N144" s="15">
        <f t="shared" si="18"/>
        <v>15</v>
      </c>
      <c r="O144" s="3">
        <v>1</v>
      </c>
      <c r="P144" s="15">
        <f t="shared" si="19"/>
        <v>30</v>
      </c>
      <c r="Q144" s="17">
        <v>3</v>
      </c>
      <c r="R144" s="15">
        <f t="shared" si="20"/>
        <v>3</v>
      </c>
      <c r="S144" s="15">
        <f t="shared" si="21"/>
        <v>90</v>
      </c>
      <c r="T144" s="4">
        <f t="shared" si="22"/>
        <v>3.5</v>
      </c>
      <c r="U144" s="3">
        <f t="shared" si="23"/>
        <v>105</v>
      </c>
      <c r="V144" s="19"/>
    </row>
    <row r="145" spans="1:22" ht="72" x14ac:dyDescent="0.3">
      <c r="A145" s="7"/>
      <c r="B145" s="14" t="s">
        <v>360</v>
      </c>
      <c r="C145" s="66"/>
      <c r="D145" s="65"/>
      <c r="E145" s="65"/>
      <c r="F145" s="65"/>
      <c r="G145" s="12">
        <v>3</v>
      </c>
      <c r="H145" s="15">
        <v>90</v>
      </c>
      <c r="I145" s="15">
        <v>30</v>
      </c>
      <c r="J145" s="3">
        <v>0.5</v>
      </c>
      <c r="K145" s="15">
        <f t="shared" si="16"/>
        <v>15</v>
      </c>
      <c r="L145" s="17">
        <v>1</v>
      </c>
      <c r="M145" s="15">
        <f t="shared" si="17"/>
        <v>0.5</v>
      </c>
      <c r="N145" s="15">
        <f t="shared" si="18"/>
        <v>15</v>
      </c>
      <c r="O145" s="3">
        <v>0.5</v>
      </c>
      <c r="P145" s="15">
        <f t="shared" si="19"/>
        <v>15</v>
      </c>
      <c r="Q145" s="17">
        <v>3</v>
      </c>
      <c r="R145" s="15">
        <f t="shared" si="20"/>
        <v>1.5</v>
      </c>
      <c r="S145" s="15">
        <f t="shared" si="21"/>
        <v>45</v>
      </c>
      <c r="T145" s="4">
        <f t="shared" si="22"/>
        <v>2</v>
      </c>
      <c r="U145" s="3">
        <f t="shared" si="23"/>
        <v>60</v>
      </c>
      <c r="V145" s="19"/>
    </row>
    <row r="146" spans="1:22" x14ac:dyDescent="0.3">
      <c r="A146" s="7"/>
      <c r="B146" s="14" t="s">
        <v>364</v>
      </c>
      <c r="C146" s="13" t="s">
        <v>206</v>
      </c>
      <c r="D146" s="64">
        <v>47</v>
      </c>
      <c r="E146" s="64">
        <v>41</v>
      </c>
      <c r="F146" s="64" t="s">
        <v>363</v>
      </c>
      <c r="G146" s="12">
        <v>5</v>
      </c>
      <c r="H146" s="15">
        <v>150</v>
      </c>
      <c r="I146" s="15">
        <v>45</v>
      </c>
      <c r="J146" s="3">
        <v>0</v>
      </c>
      <c r="K146" s="15">
        <f t="shared" si="16"/>
        <v>0</v>
      </c>
      <c r="L146" s="17">
        <v>0</v>
      </c>
      <c r="M146" s="15">
        <f t="shared" si="17"/>
        <v>0</v>
      </c>
      <c r="N146" s="15">
        <f t="shared" si="18"/>
        <v>0</v>
      </c>
      <c r="O146" s="3">
        <v>1.5</v>
      </c>
      <c r="P146" s="15">
        <f t="shared" si="19"/>
        <v>45</v>
      </c>
      <c r="Q146" s="38">
        <v>5</v>
      </c>
      <c r="R146" s="15">
        <f t="shared" si="20"/>
        <v>7.5</v>
      </c>
      <c r="S146" s="15">
        <f t="shared" si="21"/>
        <v>225</v>
      </c>
      <c r="T146" s="4">
        <f t="shared" si="22"/>
        <v>7.5</v>
      </c>
      <c r="U146" s="3">
        <f t="shared" si="23"/>
        <v>225</v>
      </c>
      <c r="V146" s="19"/>
    </row>
    <row r="147" spans="1:22" ht="28.95" customHeight="1" x14ac:dyDescent="0.3">
      <c r="A147" s="7"/>
      <c r="B147" s="62" t="s">
        <v>170</v>
      </c>
      <c r="C147" s="13" t="s">
        <v>17</v>
      </c>
      <c r="D147" s="65"/>
      <c r="E147" s="65"/>
      <c r="F147" s="65"/>
      <c r="G147" s="64">
        <v>3</v>
      </c>
      <c r="H147" s="15">
        <v>90</v>
      </c>
      <c r="I147" s="15">
        <v>30</v>
      </c>
      <c r="J147" s="3">
        <v>0.5</v>
      </c>
      <c r="K147" s="15">
        <f t="shared" si="16"/>
        <v>15</v>
      </c>
      <c r="L147" s="17">
        <v>1</v>
      </c>
      <c r="M147" s="15">
        <f t="shared" si="17"/>
        <v>0.5</v>
      </c>
      <c r="N147" s="15">
        <f t="shared" si="18"/>
        <v>15</v>
      </c>
      <c r="O147" s="3">
        <v>0.5</v>
      </c>
      <c r="P147" s="15">
        <f t="shared" si="19"/>
        <v>15</v>
      </c>
      <c r="Q147" s="17">
        <v>2</v>
      </c>
      <c r="R147" s="15">
        <f t="shared" si="20"/>
        <v>1</v>
      </c>
      <c r="S147" s="15">
        <f t="shared" si="21"/>
        <v>30</v>
      </c>
      <c r="T147" s="4">
        <f t="shared" si="22"/>
        <v>1.5</v>
      </c>
      <c r="U147" s="3">
        <f t="shared" si="23"/>
        <v>45</v>
      </c>
      <c r="V147" s="53"/>
    </row>
    <row r="148" spans="1:22" ht="25.95" customHeight="1" x14ac:dyDescent="0.3">
      <c r="A148" s="7"/>
      <c r="B148" s="63"/>
      <c r="C148" s="13" t="s">
        <v>18</v>
      </c>
      <c r="D148" s="65"/>
      <c r="E148" s="65"/>
      <c r="F148" s="65"/>
      <c r="G148" s="66"/>
      <c r="H148" s="15">
        <v>90</v>
      </c>
      <c r="I148" s="15">
        <v>30</v>
      </c>
      <c r="J148" s="3">
        <v>0.5</v>
      </c>
      <c r="K148" s="15">
        <f t="shared" si="16"/>
        <v>15</v>
      </c>
      <c r="L148" s="17">
        <v>1</v>
      </c>
      <c r="M148" s="15">
        <f t="shared" si="17"/>
        <v>0.5</v>
      </c>
      <c r="N148" s="15">
        <f t="shared" si="18"/>
        <v>15</v>
      </c>
      <c r="O148" s="3">
        <v>0.5</v>
      </c>
      <c r="P148" s="15">
        <f t="shared" si="19"/>
        <v>15</v>
      </c>
      <c r="Q148" s="17">
        <v>2</v>
      </c>
      <c r="R148" s="15">
        <f t="shared" si="20"/>
        <v>1</v>
      </c>
      <c r="S148" s="15">
        <f t="shared" si="21"/>
        <v>30</v>
      </c>
      <c r="T148" s="4">
        <f t="shared" si="22"/>
        <v>1.5</v>
      </c>
      <c r="U148" s="3">
        <f t="shared" si="23"/>
        <v>45</v>
      </c>
      <c r="V148" s="53"/>
    </row>
    <row r="149" spans="1:22" x14ac:dyDescent="0.3">
      <c r="A149" s="7"/>
      <c r="B149" s="62" t="s">
        <v>242</v>
      </c>
      <c r="C149" s="13" t="s">
        <v>17</v>
      </c>
      <c r="D149" s="65"/>
      <c r="E149" s="65"/>
      <c r="F149" s="65"/>
      <c r="G149" s="64">
        <v>3</v>
      </c>
      <c r="H149" s="15">
        <v>90</v>
      </c>
      <c r="I149" s="15">
        <v>30</v>
      </c>
      <c r="J149" s="3">
        <v>0.5</v>
      </c>
      <c r="K149" s="15">
        <f t="shared" si="16"/>
        <v>15</v>
      </c>
      <c r="L149" s="17">
        <v>1</v>
      </c>
      <c r="M149" s="15">
        <f t="shared" si="17"/>
        <v>0.5</v>
      </c>
      <c r="N149" s="15">
        <f t="shared" si="18"/>
        <v>15</v>
      </c>
      <c r="O149" s="3">
        <v>0.5</v>
      </c>
      <c r="P149" s="15">
        <f t="shared" si="19"/>
        <v>15</v>
      </c>
      <c r="Q149" s="17">
        <v>2</v>
      </c>
      <c r="R149" s="15">
        <f t="shared" si="20"/>
        <v>1</v>
      </c>
      <c r="S149" s="15">
        <f t="shared" si="21"/>
        <v>30</v>
      </c>
      <c r="T149" s="4">
        <f t="shared" si="22"/>
        <v>1.5</v>
      </c>
      <c r="U149" s="3">
        <f t="shared" si="23"/>
        <v>45</v>
      </c>
      <c r="V149" s="19"/>
    </row>
    <row r="150" spans="1:22" x14ac:dyDescent="0.3">
      <c r="A150" s="7"/>
      <c r="B150" s="63"/>
      <c r="C150" s="13" t="s">
        <v>18</v>
      </c>
      <c r="D150" s="65"/>
      <c r="E150" s="65"/>
      <c r="F150" s="65"/>
      <c r="G150" s="66"/>
      <c r="H150" s="15">
        <v>90</v>
      </c>
      <c r="I150" s="15">
        <v>30</v>
      </c>
      <c r="J150" s="3">
        <v>0.5</v>
      </c>
      <c r="K150" s="15">
        <f t="shared" si="16"/>
        <v>15</v>
      </c>
      <c r="L150" s="17">
        <v>1</v>
      </c>
      <c r="M150" s="15">
        <f t="shared" si="17"/>
        <v>0.5</v>
      </c>
      <c r="N150" s="15">
        <f t="shared" si="18"/>
        <v>15</v>
      </c>
      <c r="O150" s="3">
        <v>0.5</v>
      </c>
      <c r="P150" s="15">
        <f t="shared" si="19"/>
        <v>15</v>
      </c>
      <c r="Q150" s="17">
        <v>2</v>
      </c>
      <c r="R150" s="15">
        <f t="shared" si="20"/>
        <v>1</v>
      </c>
      <c r="S150" s="15">
        <f t="shared" si="21"/>
        <v>30</v>
      </c>
      <c r="T150" s="4">
        <f t="shared" si="22"/>
        <v>1.5</v>
      </c>
      <c r="U150" s="3">
        <f t="shared" si="23"/>
        <v>45</v>
      </c>
      <c r="V150" s="19"/>
    </row>
    <row r="151" spans="1:22" x14ac:dyDescent="0.3">
      <c r="A151" s="7"/>
      <c r="B151" s="62" t="s">
        <v>166</v>
      </c>
      <c r="C151" s="13" t="s">
        <v>17</v>
      </c>
      <c r="D151" s="65"/>
      <c r="E151" s="65"/>
      <c r="F151" s="65"/>
      <c r="G151" s="64">
        <v>3</v>
      </c>
      <c r="H151" s="15">
        <v>90</v>
      </c>
      <c r="I151" s="15">
        <v>30</v>
      </c>
      <c r="J151" s="3">
        <v>0.5</v>
      </c>
      <c r="K151" s="15">
        <f t="shared" si="16"/>
        <v>15</v>
      </c>
      <c r="L151" s="17">
        <v>1</v>
      </c>
      <c r="M151" s="15">
        <f t="shared" si="17"/>
        <v>0.5</v>
      </c>
      <c r="N151" s="15">
        <f t="shared" si="18"/>
        <v>15</v>
      </c>
      <c r="O151" s="3">
        <v>0.5</v>
      </c>
      <c r="P151" s="15">
        <f t="shared" si="19"/>
        <v>15</v>
      </c>
      <c r="Q151" s="17">
        <v>2</v>
      </c>
      <c r="R151" s="15">
        <f t="shared" si="20"/>
        <v>1</v>
      </c>
      <c r="S151" s="15">
        <f t="shared" si="21"/>
        <v>30</v>
      </c>
      <c r="T151" s="4">
        <f t="shared" si="22"/>
        <v>1.5</v>
      </c>
      <c r="U151" s="3">
        <f t="shared" si="23"/>
        <v>45</v>
      </c>
      <c r="V151" s="19"/>
    </row>
    <row r="152" spans="1:22" x14ac:dyDescent="0.3">
      <c r="A152" s="7"/>
      <c r="B152" s="63"/>
      <c r="C152" s="13" t="s">
        <v>18</v>
      </c>
      <c r="D152" s="65"/>
      <c r="E152" s="65"/>
      <c r="F152" s="65"/>
      <c r="G152" s="66"/>
      <c r="H152" s="15">
        <v>90</v>
      </c>
      <c r="I152" s="15">
        <v>30</v>
      </c>
      <c r="J152" s="3">
        <v>0.5</v>
      </c>
      <c r="K152" s="15">
        <f t="shared" si="16"/>
        <v>15</v>
      </c>
      <c r="L152" s="17">
        <v>1</v>
      </c>
      <c r="M152" s="15">
        <f t="shared" si="17"/>
        <v>0.5</v>
      </c>
      <c r="N152" s="15">
        <f t="shared" si="18"/>
        <v>15</v>
      </c>
      <c r="O152" s="3">
        <v>0.5</v>
      </c>
      <c r="P152" s="15">
        <f t="shared" si="19"/>
        <v>15</v>
      </c>
      <c r="Q152" s="17">
        <v>2</v>
      </c>
      <c r="R152" s="15">
        <f t="shared" si="20"/>
        <v>1</v>
      </c>
      <c r="S152" s="15">
        <f t="shared" si="21"/>
        <v>30</v>
      </c>
      <c r="T152" s="4">
        <f t="shared" si="22"/>
        <v>1.5</v>
      </c>
      <c r="U152" s="3">
        <f t="shared" si="23"/>
        <v>45</v>
      </c>
      <c r="V152" s="19"/>
    </row>
    <row r="153" spans="1:22" ht="27" customHeight="1" x14ac:dyDescent="0.3">
      <c r="A153" s="7"/>
      <c r="B153" s="62" t="s">
        <v>365</v>
      </c>
      <c r="C153" s="13" t="s">
        <v>17</v>
      </c>
      <c r="D153" s="65"/>
      <c r="E153" s="65"/>
      <c r="F153" s="65"/>
      <c r="G153" s="64">
        <v>6</v>
      </c>
      <c r="H153" s="15">
        <v>180</v>
      </c>
      <c r="I153" s="15">
        <v>60</v>
      </c>
      <c r="J153" s="3">
        <v>1</v>
      </c>
      <c r="K153" s="15">
        <f t="shared" si="16"/>
        <v>30</v>
      </c>
      <c r="L153" s="17">
        <v>1</v>
      </c>
      <c r="M153" s="15">
        <f t="shared" si="17"/>
        <v>1</v>
      </c>
      <c r="N153" s="15">
        <f t="shared" si="18"/>
        <v>30</v>
      </c>
      <c r="O153" s="3">
        <v>1</v>
      </c>
      <c r="P153" s="15">
        <f t="shared" si="19"/>
        <v>30</v>
      </c>
      <c r="Q153" s="17">
        <v>2</v>
      </c>
      <c r="R153" s="15">
        <f t="shared" si="20"/>
        <v>2</v>
      </c>
      <c r="S153" s="15">
        <f t="shared" si="21"/>
        <v>60</v>
      </c>
      <c r="T153" s="4">
        <f t="shared" si="22"/>
        <v>3</v>
      </c>
      <c r="U153" s="3">
        <f t="shared" si="23"/>
        <v>90</v>
      </c>
      <c r="V153" s="19"/>
    </row>
    <row r="154" spans="1:22" ht="28.95" customHeight="1" x14ac:dyDescent="0.3">
      <c r="A154" s="7"/>
      <c r="B154" s="63"/>
      <c r="C154" s="13" t="s">
        <v>18</v>
      </c>
      <c r="D154" s="65"/>
      <c r="E154" s="65"/>
      <c r="F154" s="65"/>
      <c r="G154" s="66"/>
      <c r="H154" s="15">
        <v>180</v>
      </c>
      <c r="I154" s="15">
        <v>60</v>
      </c>
      <c r="J154" s="3">
        <v>1</v>
      </c>
      <c r="K154" s="15">
        <f t="shared" si="16"/>
        <v>30</v>
      </c>
      <c r="L154" s="17">
        <v>1</v>
      </c>
      <c r="M154" s="15">
        <f t="shared" si="17"/>
        <v>1</v>
      </c>
      <c r="N154" s="15">
        <f t="shared" si="18"/>
        <v>30</v>
      </c>
      <c r="O154" s="3">
        <v>1</v>
      </c>
      <c r="P154" s="15">
        <f t="shared" si="19"/>
        <v>30</v>
      </c>
      <c r="Q154" s="17">
        <v>2</v>
      </c>
      <c r="R154" s="15">
        <f t="shared" si="20"/>
        <v>2</v>
      </c>
      <c r="S154" s="15">
        <f t="shared" si="21"/>
        <v>60</v>
      </c>
      <c r="T154" s="4">
        <f t="shared" si="22"/>
        <v>3</v>
      </c>
      <c r="U154" s="3">
        <f t="shared" si="23"/>
        <v>90</v>
      </c>
      <c r="V154" s="19"/>
    </row>
    <row r="155" spans="1:22" ht="27" customHeight="1" x14ac:dyDescent="0.3">
      <c r="A155" s="7"/>
      <c r="B155" s="62" t="s">
        <v>246</v>
      </c>
      <c r="C155" s="13" t="s">
        <v>17</v>
      </c>
      <c r="D155" s="65"/>
      <c r="E155" s="65"/>
      <c r="F155" s="65"/>
      <c r="G155" s="64">
        <v>3</v>
      </c>
      <c r="H155" s="15">
        <v>90</v>
      </c>
      <c r="I155" s="15">
        <v>30</v>
      </c>
      <c r="J155" s="3">
        <v>0.5</v>
      </c>
      <c r="K155" s="15">
        <f t="shared" si="16"/>
        <v>15</v>
      </c>
      <c r="L155" s="17">
        <v>1</v>
      </c>
      <c r="M155" s="15">
        <f t="shared" si="17"/>
        <v>0.5</v>
      </c>
      <c r="N155" s="15">
        <f t="shared" si="18"/>
        <v>15</v>
      </c>
      <c r="O155" s="3">
        <v>0.5</v>
      </c>
      <c r="P155" s="15">
        <f t="shared" si="19"/>
        <v>15</v>
      </c>
      <c r="Q155" s="17">
        <v>2</v>
      </c>
      <c r="R155" s="15">
        <f t="shared" si="20"/>
        <v>1</v>
      </c>
      <c r="S155" s="15">
        <f t="shared" si="21"/>
        <v>30</v>
      </c>
      <c r="T155" s="4">
        <f t="shared" si="22"/>
        <v>1.5</v>
      </c>
      <c r="U155" s="3">
        <f t="shared" si="23"/>
        <v>45</v>
      </c>
      <c r="V155" s="19"/>
    </row>
    <row r="156" spans="1:22" ht="27.6" customHeight="1" x14ac:dyDescent="0.3">
      <c r="A156" s="7"/>
      <c r="B156" s="63"/>
      <c r="C156" s="13" t="s">
        <v>18</v>
      </c>
      <c r="D156" s="66"/>
      <c r="E156" s="66"/>
      <c r="F156" s="66"/>
      <c r="G156" s="66"/>
      <c r="H156" s="15">
        <v>90</v>
      </c>
      <c r="I156" s="15">
        <v>30</v>
      </c>
      <c r="J156" s="3">
        <v>0.5</v>
      </c>
      <c r="K156" s="15">
        <f t="shared" si="16"/>
        <v>15</v>
      </c>
      <c r="L156" s="17">
        <v>1</v>
      </c>
      <c r="M156" s="15">
        <f t="shared" si="17"/>
        <v>0.5</v>
      </c>
      <c r="N156" s="15">
        <f t="shared" si="18"/>
        <v>15</v>
      </c>
      <c r="O156" s="3">
        <v>0.5</v>
      </c>
      <c r="P156" s="15">
        <f t="shared" si="19"/>
        <v>15</v>
      </c>
      <c r="Q156" s="17">
        <v>2</v>
      </c>
      <c r="R156" s="15">
        <f t="shared" si="20"/>
        <v>1</v>
      </c>
      <c r="S156" s="15">
        <f t="shared" si="21"/>
        <v>30</v>
      </c>
      <c r="T156" s="4">
        <f t="shared" si="22"/>
        <v>1.5</v>
      </c>
      <c r="U156" s="3">
        <f t="shared" si="23"/>
        <v>45</v>
      </c>
      <c r="V156" s="19"/>
    </row>
    <row r="157" spans="1:22" x14ac:dyDescent="0.3">
      <c r="B157" s="14" t="s">
        <v>370</v>
      </c>
      <c r="C157" s="64" t="s">
        <v>206</v>
      </c>
      <c r="D157" s="64">
        <v>203</v>
      </c>
      <c r="E157" s="64">
        <v>74</v>
      </c>
      <c r="F157" s="64" t="s">
        <v>29</v>
      </c>
      <c r="G157" s="12">
        <v>6</v>
      </c>
      <c r="H157" s="15">
        <v>180</v>
      </c>
      <c r="I157" s="15">
        <v>60</v>
      </c>
      <c r="J157" s="3">
        <v>0</v>
      </c>
      <c r="K157" s="15">
        <f t="shared" si="16"/>
        <v>0</v>
      </c>
      <c r="L157" s="17">
        <v>0</v>
      </c>
      <c r="M157" s="15">
        <f t="shared" si="17"/>
        <v>0</v>
      </c>
      <c r="N157" s="15">
        <f t="shared" si="18"/>
        <v>0</v>
      </c>
      <c r="O157" s="3">
        <v>2</v>
      </c>
      <c r="P157" s="15">
        <f t="shared" si="19"/>
        <v>60</v>
      </c>
      <c r="Q157" s="17">
        <v>13</v>
      </c>
      <c r="R157" s="15">
        <f t="shared" si="20"/>
        <v>26</v>
      </c>
      <c r="S157" s="15">
        <f t="shared" si="21"/>
        <v>780</v>
      </c>
      <c r="T157" s="4">
        <f t="shared" si="22"/>
        <v>26</v>
      </c>
      <c r="U157" s="3">
        <f t="shared" si="23"/>
        <v>780</v>
      </c>
      <c r="V157" s="19"/>
    </row>
    <row r="158" spans="1:22" ht="36" x14ac:dyDescent="0.3">
      <c r="B158" s="14" t="s">
        <v>371</v>
      </c>
      <c r="C158" s="65"/>
      <c r="D158" s="65"/>
      <c r="E158" s="65"/>
      <c r="F158" s="65"/>
      <c r="G158" s="12">
        <v>5</v>
      </c>
      <c r="H158" s="15">
        <v>150</v>
      </c>
      <c r="I158" s="15">
        <v>45</v>
      </c>
      <c r="J158" s="3">
        <v>0.5</v>
      </c>
      <c r="K158" s="15">
        <f t="shared" si="16"/>
        <v>15</v>
      </c>
      <c r="L158" s="17">
        <v>3</v>
      </c>
      <c r="M158" s="15">
        <f t="shared" si="17"/>
        <v>1.5</v>
      </c>
      <c r="N158" s="15">
        <f t="shared" si="18"/>
        <v>45</v>
      </c>
      <c r="O158" s="3">
        <v>1</v>
      </c>
      <c r="P158" s="15">
        <f t="shared" si="19"/>
        <v>30</v>
      </c>
      <c r="Q158" s="17">
        <v>13</v>
      </c>
      <c r="R158" s="15">
        <f t="shared" si="20"/>
        <v>13</v>
      </c>
      <c r="S158" s="15">
        <f t="shared" si="21"/>
        <v>390</v>
      </c>
      <c r="T158" s="4">
        <f t="shared" si="22"/>
        <v>14.5</v>
      </c>
      <c r="U158" s="3">
        <f t="shared" si="23"/>
        <v>435</v>
      </c>
      <c r="V158" s="19"/>
    </row>
    <row r="159" spans="1:22" ht="36" x14ac:dyDescent="0.3">
      <c r="B159" s="14" t="s">
        <v>372</v>
      </c>
      <c r="C159" s="65"/>
      <c r="D159" s="65"/>
      <c r="E159" s="65"/>
      <c r="F159" s="65"/>
      <c r="G159" s="12">
        <v>3</v>
      </c>
      <c r="H159" s="15">
        <v>90</v>
      </c>
      <c r="I159" s="15">
        <v>30</v>
      </c>
      <c r="J159" s="3">
        <v>0.5</v>
      </c>
      <c r="K159" s="15">
        <f t="shared" si="16"/>
        <v>15</v>
      </c>
      <c r="L159" s="17">
        <v>3</v>
      </c>
      <c r="M159" s="15">
        <f t="shared" si="17"/>
        <v>1.5</v>
      </c>
      <c r="N159" s="15">
        <f t="shared" si="18"/>
        <v>45</v>
      </c>
      <c r="O159" s="3">
        <v>0.5</v>
      </c>
      <c r="P159" s="15">
        <f t="shared" si="19"/>
        <v>15</v>
      </c>
      <c r="Q159" s="17">
        <v>13</v>
      </c>
      <c r="R159" s="15">
        <f t="shared" si="20"/>
        <v>6.5</v>
      </c>
      <c r="S159" s="15">
        <f t="shared" si="21"/>
        <v>195</v>
      </c>
      <c r="T159" s="4">
        <f t="shared" si="22"/>
        <v>8</v>
      </c>
      <c r="U159" s="3">
        <f t="shared" si="23"/>
        <v>240</v>
      </c>
      <c r="V159" s="19"/>
    </row>
    <row r="160" spans="1:22" ht="138" customHeight="1" x14ac:dyDescent="0.3">
      <c r="B160" s="14" t="s">
        <v>373</v>
      </c>
      <c r="C160" s="66"/>
      <c r="D160" s="65"/>
      <c r="E160" s="65"/>
      <c r="F160" s="65"/>
      <c r="G160" s="12">
        <v>6</v>
      </c>
      <c r="H160" s="15">
        <v>180</v>
      </c>
      <c r="I160" s="15">
        <v>60</v>
      </c>
      <c r="J160" s="3">
        <v>0</v>
      </c>
      <c r="K160" s="15">
        <f t="shared" si="16"/>
        <v>0</v>
      </c>
      <c r="L160" s="17">
        <v>0</v>
      </c>
      <c r="M160" s="15">
        <f t="shared" si="17"/>
        <v>0</v>
      </c>
      <c r="N160" s="15">
        <f t="shared" si="18"/>
        <v>0</v>
      </c>
      <c r="O160" s="3">
        <v>2</v>
      </c>
      <c r="P160" s="15">
        <f t="shared" si="19"/>
        <v>60</v>
      </c>
      <c r="Q160" s="38">
        <v>13</v>
      </c>
      <c r="R160" s="15">
        <f t="shared" si="20"/>
        <v>26</v>
      </c>
      <c r="S160" s="15">
        <f t="shared" si="21"/>
        <v>780</v>
      </c>
      <c r="T160" s="4">
        <f t="shared" si="22"/>
        <v>26</v>
      </c>
      <c r="U160" s="3">
        <f t="shared" si="23"/>
        <v>780</v>
      </c>
      <c r="V160" s="29" t="s">
        <v>415</v>
      </c>
    </row>
    <row r="161" spans="1:22" ht="36" x14ac:dyDescent="0.3">
      <c r="A161" s="7"/>
      <c r="B161" s="46" t="s">
        <v>376</v>
      </c>
      <c r="C161" s="13" t="s">
        <v>206</v>
      </c>
      <c r="D161" s="12">
        <v>61</v>
      </c>
      <c r="E161" s="12">
        <v>66</v>
      </c>
      <c r="F161" s="15" t="s">
        <v>377</v>
      </c>
      <c r="G161" s="12">
        <v>4</v>
      </c>
      <c r="H161" s="15">
        <v>120</v>
      </c>
      <c r="I161" s="15">
        <v>45</v>
      </c>
      <c r="J161" s="3">
        <v>0</v>
      </c>
      <c r="K161" s="15">
        <f t="shared" si="16"/>
        <v>0</v>
      </c>
      <c r="L161" s="17">
        <v>0</v>
      </c>
      <c r="M161" s="15">
        <f t="shared" si="17"/>
        <v>0</v>
      </c>
      <c r="N161" s="15">
        <f t="shared" si="18"/>
        <v>0</v>
      </c>
      <c r="O161" s="3">
        <v>1.5</v>
      </c>
      <c r="P161" s="15">
        <f t="shared" si="19"/>
        <v>45</v>
      </c>
      <c r="Q161" s="38">
        <v>7</v>
      </c>
      <c r="R161" s="15">
        <f t="shared" si="20"/>
        <v>10.5</v>
      </c>
      <c r="S161" s="15">
        <f t="shared" si="21"/>
        <v>315</v>
      </c>
      <c r="T161" s="4">
        <f t="shared" si="22"/>
        <v>10.5</v>
      </c>
      <c r="U161" s="3">
        <f t="shared" si="23"/>
        <v>315</v>
      </c>
      <c r="V161" s="19"/>
    </row>
    <row r="162" spans="1:22" x14ac:dyDescent="0.35">
      <c r="A162" s="8"/>
      <c r="B162" s="68" t="s">
        <v>378</v>
      </c>
      <c r="C162" s="13" t="s">
        <v>17</v>
      </c>
      <c r="D162" s="64">
        <v>50</v>
      </c>
      <c r="E162" s="64">
        <v>40</v>
      </c>
      <c r="F162" s="64" t="s">
        <v>30</v>
      </c>
      <c r="G162" s="87">
        <v>4</v>
      </c>
      <c r="H162" s="15">
        <v>120</v>
      </c>
      <c r="I162" s="15">
        <v>45</v>
      </c>
      <c r="J162" s="3">
        <v>0</v>
      </c>
      <c r="K162" s="15">
        <f>J162*30</f>
        <v>0</v>
      </c>
      <c r="L162" s="17">
        <v>0</v>
      </c>
      <c r="M162" s="15">
        <f>J162*L162</f>
        <v>0</v>
      </c>
      <c r="N162" s="15">
        <f>K162*L162</f>
        <v>0</v>
      </c>
      <c r="O162" s="3">
        <v>1.5</v>
      </c>
      <c r="P162" s="15">
        <f>O162*30</f>
        <v>45</v>
      </c>
      <c r="Q162" s="9">
        <v>2</v>
      </c>
      <c r="R162" s="15">
        <f>O162*Q162</f>
        <v>3</v>
      </c>
      <c r="S162" s="15">
        <f>P162*Q162</f>
        <v>90</v>
      </c>
      <c r="T162" s="4">
        <f t="shared" ref="T162:U164" si="24">M162+R162</f>
        <v>3</v>
      </c>
      <c r="U162" s="3">
        <f t="shared" si="24"/>
        <v>90</v>
      </c>
      <c r="V162" s="10"/>
    </row>
    <row r="163" spans="1:22" x14ac:dyDescent="0.35">
      <c r="A163" s="8"/>
      <c r="B163" s="69"/>
      <c r="C163" s="13" t="s">
        <v>18</v>
      </c>
      <c r="D163" s="65"/>
      <c r="E163" s="65"/>
      <c r="F163" s="65"/>
      <c r="G163" s="88"/>
      <c r="H163" s="15">
        <v>120</v>
      </c>
      <c r="I163" s="15">
        <v>45</v>
      </c>
      <c r="J163" s="3">
        <v>0</v>
      </c>
      <c r="K163" s="15">
        <f>J163*30</f>
        <v>0</v>
      </c>
      <c r="L163" s="17">
        <v>0</v>
      </c>
      <c r="M163" s="15">
        <f>J163*L163</f>
        <v>0</v>
      </c>
      <c r="N163" s="15">
        <f>K163*L163</f>
        <v>0</v>
      </c>
      <c r="O163" s="3">
        <v>1.5</v>
      </c>
      <c r="P163" s="15">
        <f>O163*30</f>
        <v>45</v>
      </c>
      <c r="Q163" s="9">
        <v>2</v>
      </c>
      <c r="R163" s="15">
        <f>O163*Q163</f>
        <v>3</v>
      </c>
      <c r="S163" s="15">
        <f>P163*Q163</f>
        <v>90</v>
      </c>
      <c r="T163" s="4">
        <f t="shared" si="24"/>
        <v>3</v>
      </c>
      <c r="U163" s="3">
        <f t="shared" si="24"/>
        <v>90</v>
      </c>
      <c r="V163" s="20"/>
    </row>
    <row r="164" spans="1:22" x14ac:dyDescent="0.3">
      <c r="B164" s="44" t="s">
        <v>380</v>
      </c>
      <c r="C164" s="15" t="s">
        <v>18</v>
      </c>
      <c r="D164" s="15"/>
      <c r="E164" s="15">
        <v>47</v>
      </c>
      <c r="F164" s="15" t="s">
        <v>74</v>
      </c>
      <c r="G164" s="15">
        <v>4</v>
      </c>
      <c r="H164" s="15">
        <v>120</v>
      </c>
      <c r="I164" s="15">
        <v>45</v>
      </c>
      <c r="J164" s="3">
        <v>0</v>
      </c>
      <c r="K164" s="15">
        <f>J164*30</f>
        <v>0</v>
      </c>
      <c r="L164" s="17">
        <v>0</v>
      </c>
      <c r="M164" s="15">
        <f>J164*L164</f>
        <v>0</v>
      </c>
      <c r="N164" s="15">
        <f>K164*L164</f>
        <v>0</v>
      </c>
      <c r="O164" s="3">
        <v>1.5</v>
      </c>
      <c r="P164" s="15">
        <f>O164*30</f>
        <v>45</v>
      </c>
      <c r="Q164" s="17">
        <v>3</v>
      </c>
      <c r="R164" s="15">
        <f>O164*Q164</f>
        <v>4.5</v>
      </c>
      <c r="S164" s="15">
        <f>P164*Q164</f>
        <v>135</v>
      </c>
      <c r="T164" s="4">
        <f t="shared" si="24"/>
        <v>4.5</v>
      </c>
      <c r="U164" s="3">
        <f t="shared" si="24"/>
        <v>135</v>
      </c>
      <c r="V164" s="19"/>
    </row>
  </sheetData>
  <autoFilter ref="A4:V164" xr:uid="{00000000-0009-0000-0000-000005000000}"/>
  <mergeCells count="218">
    <mergeCell ref="E135:E139"/>
    <mergeCell ref="D135:D139"/>
    <mergeCell ref="C135:C139"/>
    <mergeCell ref="F157:F160"/>
    <mergeCell ref="D157:D160"/>
    <mergeCell ref="E157:E160"/>
    <mergeCell ref="C157:C160"/>
    <mergeCell ref="F130:F134"/>
    <mergeCell ref="F140:F145"/>
    <mergeCell ref="C130:C134"/>
    <mergeCell ref="C140:C145"/>
    <mergeCell ref="D140:D145"/>
    <mergeCell ref="E140:E145"/>
    <mergeCell ref="D130:D134"/>
    <mergeCell ref="F135:F139"/>
    <mergeCell ref="B147:B148"/>
    <mergeCell ref="G147:G148"/>
    <mergeCell ref="F146:F156"/>
    <mergeCell ref="B151:B152"/>
    <mergeCell ref="G151:G152"/>
    <mergeCell ref="B149:B150"/>
    <mergeCell ref="G149:G150"/>
    <mergeCell ref="B155:B156"/>
    <mergeCell ref="G155:G156"/>
    <mergeCell ref="B153:B154"/>
    <mergeCell ref="G153:G154"/>
    <mergeCell ref="D146:D156"/>
    <mergeCell ref="E146:E156"/>
    <mergeCell ref="B122:B123"/>
    <mergeCell ref="G122:G123"/>
    <mergeCell ref="B120:B121"/>
    <mergeCell ref="G120:G121"/>
    <mergeCell ref="B126:B127"/>
    <mergeCell ref="G126:G127"/>
    <mergeCell ref="B124:B125"/>
    <mergeCell ref="G124:G125"/>
    <mergeCell ref="B128:B129"/>
    <mergeCell ref="G128:G129"/>
    <mergeCell ref="F122:F129"/>
    <mergeCell ref="E122:E129"/>
    <mergeCell ref="D122:D129"/>
    <mergeCell ref="F120:F121"/>
    <mergeCell ref="E120:E121"/>
    <mergeCell ref="D120:D121"/>
    <mergeCell ref="B110:B111"/>
    <mergeCell ref="G110:G111"/>
    <mergeCell ref="B108:B109"/>
    <mergeCell ref="G108:G109"/>
    <mergeCell ref="F110:F119"/>
    <mergeCell ref="B114:B115"/>
    <mergeCell ref="G114:G115"/>
    <mergeCell ref="B112:B113"/>
    <mergeCell ref="G112:G113"/>
    <mergeCell ref="B118:B119"/>
    <mergeCell ref="G118:G119"/>
    <mergeCell ref="B116:B117"/>
    <mergeCell ref="G116:G117"/>
    <mergeCell ref="D110:D119"/>
    <mergeCell ref="E110:E119"/>
    <mergeCell ref="B102:B103"/>
    <mergeCell ref="G102:G103"/>
    <mergeCell ref="B100:B101"/>
    <mergeCell ref="G100:G101"/>
    <mergeCell ref="F102:F109"/>
    <mergeCell ref="B106:B107"/>
    <mergeCell ref="G106:G107"/>
    <mergeCell ref="B104:B105"/>
    <mergeCell ref="G104:G105"/>
    <mergeCell ref="D102:D109"/>
    <mergeCell ref="E102:E109"/>
    <mergeCell ref="B94:B95"/>
    <mergeCell ref="G94:G95"/>
    <mergeCell ref="B92:B93"/>
    <mergeCell ref="G92:G93"/>
    <mergeCell ref="F94:F101"/>
    <mergeCell ref="B98:B99"/>
    <mergeCell ref="G98:G99"/>
    <mergeCell ref="B96:B97"/>
    <mergeCell ref="G96:G97"/>
    <mergeCell ref="D94:D101"/>
    <mergeCell ref="E94:E101"/>
    <mergeCell ref="B86:B87"/>
    <mergeCell ref="G86:G87"/>
    <mergeCell ref="F86:F93"/>
    <mergeCell ref="B90:B91"/>
    <mergeCell ref="G90:G91"/>
    <mergeCell ref="B88:B89"/>
    <mergeCell ref="G88:G89"/>
    <mergeCell ref="D86:D93"/>
    <mergeCell ref="E86:E93"/>
    <mergeCell ref="F68:F71"/>
    <mergeCell ref="C82:C85"/>
    <mergeCell ref="C68:C71"/>
    <mergeCell ref="B74:B75"/>
    <mergeCell ref="G74:G75"/>
    <mergeCell ref="B72:B73"/>
    <mergeCell ref="G72:G73"/>
    <mergeCell ref="F72:F81"/>
    <mergeCell ref="B78:B79"/>
    <mergeCell ref="G78:G79"/>
    <mergeCell ref="B76:B77"/>
    <mergeCell ref="G76:G77"/>
    <mergeCell ref="B80:B81"/>
    <mergeCell ref="G80:G81"/>
    <mergeCell ref="F82:F85"/>
    <mergeCell ref="D82:D85"/>
    <mergeCell ref="E82:E85"/>
    <mergeCell ref="D72:D81"/>
    <mergeCell ref="E72:E81"/>
    <mergeCell ref="D68:D71"/>
    <mergeCell ref="E68:E71"/>
    <mergeCell ref="B58:B59"/>
    <mergeCell ref="G58:G59"/>
    <mergeCell ref="B56:B57"/>
    <mergeCell ref="G56:G57"/>
    <mergeCell ref="F58:F67"/>
    <mergeCell ref="B62:B63"/>
    <mergeCell ref="G62:G63"/>
    <mergeCell ref="B60:B61"/>
    <mergeCell ref="G60:G61"/>
    <mergeCell ref="B66:B67"/>
    <mergeCell ref="G66:G67"/>
    <mergeCell ref="B64:B65"/>
    <mergeCell ref="G64:G65"/>
    <mergeCell ref="D58:D67"/>
    <mergeCell ref="E58:E67"/>
    <mergeCell ref="G37:G38"/>
    <mergeCell ref="F41:F45"/>
    <mergeCell ref="D41:D45"/>
    <mergeCell ref="E41:E45"/>
    <mergeCell ref="B46:B47"/>
    <mergeCell ref="G46:G47"/>
    <mergeCell ref="F46:F57"/>
    <mergeCell ref="B50:B51"/>
    <mergeCell ref="G50:G51"/>
    <mergeCell ref="B48:B49"/>
    <mergeCell ref="G48:G49"/>
    <mergeCell ref="B54:B55"/>
    <mergeCell ref="G54:G55"/>
    <mergeCell ref="B52:B53"/>
    <mergeCell ref="G52:G53"/>
    <mergeCell ref="D46:D57"/>
    <mergeCell ref="E46:E57"/>
    <mergeCell ref="B39:B40"/>
    <mergeCell ref="G39:G40"/>
    <mergeCell ref="B37:B38"/>
    <mergeCell ref="N2:N4"/>
    <mergeCell ref="D9:D10"/>
    <mergeCell ref="E9:E10"/>
    <mergeCell ref="F9:F10"/>
    <mergeCell ref="B9:B10"/>
    <mergeCell ref="G9:G10"/>
    <mergeCell ref="G11:G12"/>
    <mergeCell ref="D11:D20"/>
    <mergeCell ref="E11:E20"/>
    <mergeCell ref="B19:B20"/>
    <mergeCell ref="G19:G20"/>
    <mergeCell ref="B17:B18"/>
    <mergeCell ref="B7:B8"/>
    <mergeCell ref="D7:D8"/>
    <mergeCell ref="E7:E8"/>
    <mergeCell ref="F7:F8"/>
    <mergeCell ref="G7:G8"/>
    <mergeCell ref="F11:F20"/>
    <mergeCell ref="G13:G14"/>
    <mergeCell ref="G15:G16"/>
    <mergeCell ref="B11:B12"/>
    <mergeCell ref="B15:B16"/>
    <mergeCell ref="B13:B14"/>
    <mergeCell ref="G17:G18"/>
    <mergeCell ref="V2:V4"/>
    <mergeCell ref="B5:B6"/>
    <mergeCell ref="D5:D6"/>
    <mergeCell ref="E5:E6"/>
    <mergeCell ref="F5:F6"/>
    <mergeCell ref="G5:G6"/>
    <mergeCell ref="O2:O4"/>
    <mergeCell ref="P2:P4"/>
    <mergeCell ref="Q2:Q4"/>
    <mergeCell ref="R2:R4"/>
    <mergeCell ref="S2:S4"/>
    <mergeCell ref="T2:T4"/>
    <mergeCell ref="I2:I4"/>
    <mergeCell ref="J2:J4"/>
    <mergeCell ref="K2:K4"/>
    <mergeCell ref="L2:L4"/>
    <mergeCell ref="B2:B4"/>
    <mergeCell ref="C2:C4"/>
    <mergeCell ref="D2:E3"/>
    <mergeCell ref="F2:F4"/>
    <mergeCell ref="G2:G4"/>
    <mergeCell ref="H2:H4"/>
    <mergeCell ref="U2:U4"/>
    <mergeCell ref="M2:M4"/>
    <mergeCell ref="D21:D25"/>
    <mergeCell ref="E21:E25"/>
    <mergeCell ref="C21:C25"/>
    <mergeCell ref="E130:E134"/>
    <mergeCell ref="F162:F163"/>
    <mergeCell ref="D162:D163"/>
    <mergeCell ref="E162:E163"/>
    <mergeCell ref="B162:B163"/>
    <mergeCell ref="G162:G163"/>
    <mergeCell ref="F21:F25"/>
    <mergeCell ref="F26:F30"/>
    <mergeCell ref="F31:F40"/>
    <mergeCell ref="C26:C30"/>
    <mergeCell ref="D26:D30"/>
    <mergeCell ref="E26:E30"/>
    <mergeCell ref="B31:B32"/>
    <mergeCell ref="G31:G32"/>
    <mergeCell ref="D31:D40"/>
    <mergeCell ref="E31:E40"/>
    <mergeCell ref="C41:C45"/>
    <mergeCell ref="B35:B36"/>
    <mergeCell ref="G35:G36"/>
    <mergeCell ref="B33:B34"/>
    <mergeCell ref="G33:G3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50"/>
  <sheetViews>
    <sheetView zoomScale="40" zoomScaleNormal="40" workbookViewId="0">
      <pane xSplit="6" ySplit="4" topLeftCell="H11" activePane="bottomRight" state="frozen"/>
      <selection pane="topRight" activeCell="G1" sqref="G1"/>
      <selection pane="bottomLeft" activeCell="A5" sqref="A5"/>
      <selection pane="bottomRight" activeCell="V35" sqref="V35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x14ac:dyDescent="0.3">
      <c r="B5" s="62" t="s">
        <v>385</v>
      </c>
      <c r="C5" s="13" t="s">
        <v>17</v>
      </c>
      <c r="D5" s="64">
        <v>74</v>
      </c>
      <c r="E5" s="64">
        <v>9</v>
      </c>
      <c r="F5" s="64" t="s">
        <v>193</v>
      </c>
      <c r="G5" s="64">
        <v>5</v>
      </c>
      <c r="H5" s="15">
        <v>150</v>
      </c>
      <c r="I5" s="15">
        <v>45</v>
      </c>
      <c r="J5" s="3">
        <v>0.5</v>
      </c>
      <c r="K5" s="15">
        <f>J5*30</f>
        <v>15</v>
      </c>
      <c r="L5" s="17">
        <v>1</v>
      </c>
      <c r="M5" s="15">
        <f>J5*L5</f>
        <v>0.5</v>
      </c>
      <c r="N5" s="15">
        <f>K5*L5</f>
        <v>15</v>
      </c>
      <c r="O5" s="3">
        <v>1</v>
      </c>
      <c r="P5" s="15">
        <f>O5*30</f>
        <v>30</v>
      </c>
      <c r="Q5" s="17">
        <v>3</v>
      </c>
      <c r="R5" s="15">
        <f>O5*Q5</f>
        <v>3</v>
      </c>
      <c r="S5" s="15">
        <f>P5*Q5</f>
        <v>90</v>
      </c>
      <c r="T5" s="4">
        <f>M5+R5</f>
        <v>3.5</v>
      </c>
      <c r="U5" s="3">
        <f>N5+S5</f>
        <v>105</v>
      </c>
      <c r="V5" s="19"/>
    </row>
    <row r="6" spans="1:22" x14ac:dyDescent="0.3">
      <c r="B6" s="63"/>
      <c r="C6" s="13" t="s">
        <v>18</v>
      </c>
      <c r="D6" s="65"/>
      <c r="E6" s="65"/>
      <c r="F6" s="65"/>
      <c r="G6" s="66"/>
      <c r="H6" s="15">
        <v>150</v>
      </c>
      <c r="I6" s="15">
        <v>45</v>
      </c>
      <c r="J6" s="3">
        <v>0.5</v>
      </c>
      <c r="K6" s="15">
        <f t="shared" ref="K6:K50" si="0">J6*30</f>
        <v>15</v>
      </c>
      <c r="L6" s="17">
        <v>1</v>
      </c>
      <c r="M6" s="15">
        <f t="shared" ref="M6:M50" si="1">J6*L6</f>
        <v>0.5</v>
      </c>
      <c r="N6" s="15">
        <f t="shared" ref="N6:N50" si="2">K6*L6</f>
        <v>15</v>
      </c>
      <c r="O6" s="3">
        <v>1</v>
      </c>
      <c r="P6" s="15">
        <f t="shared" ref="P6:P50" si="3">O6*30</f>
        <v>30</v>
      </c>
      <c r="Q6" s="17">
        <v>1</v>
      </c>
      <c r="R6" s="15">
        <f t="shared" ref="R6:R50" si="4">O6*Q6</f>
        <v>1</v>
      </c>
      <c r="S6" s="15">
        <f t="shared" ref="S6:S50" si="5">P6*Q6</f>
        <v>30</v>
      </c>
      <c r="T6" s="4">
        <f t="shared" ref="T6:T50" si="6">M6+R6</f>
        <v>1.5</v>
      </c>
      <c r="U6" s="3">
        <f t="shared" ref="U6:U50" si="7">N6+S6</f>
        <v>45</v>
      </c>
      <c r="V6" s="19"/>
    </row>
    <row r="7" spans="1:22" ht="25.95" customHeight="1" x14ac:dyDescent="0.3">
      <c r="B7" s="62" t="s">
        <v>387</v>
      </c>
      <c r="C7" s="13" t="s">
        <v>17</v>
      </c>
      <c r="D7" s="65"/>
      <c r="E7" s="65"/>
      <c r="F7" s="65"/>
      <c r="G7" s="64">
        <v>5</v>
      </c>
      <c r="H7" s="15">
        <v>150</v>
      </c>
      <c r="I7" s="15">
        <v>45</v>
      </c>
      <c r="J7" s="3">
        <v>0.5</v>
      </c>
      <c r="K7" s="15">
        <f t="shared" si="0"/>
        <v>15</v>
      </c>
      <c r="L7" s="17">
        <v>1</v>
      </c>
      <c r="M7" s="15">
        <f t="shared" si="1"/>
        <v>0.5</v>
      </c>
      <c r="N7" s="15">
        <f t="shared" si="2"/>
        <v>15</v>
      </c>
      <c r="O7" s="3">
        <v>1</v>
      </c>
      <c r="P7" s="15">
        <f t="shared" si="3"/>
        <v>30</v>
      </c>
      <c r="Q7" s="17">
        <v>3</v>
      </c>
      <c r="R7" s="15">
        <f t="shared" si="4"/>
        <v>3</v>
      </c>
      <c r="S7" s="15">
        <f t="shared" si="5"/>
        <v>90</v>
      </c>
      <c r="T7" s="4">
        <f t="shared" si="6"/>
        <v>3.5</v>
      </c>
      <c r="U7" s="3">
        <f t="shared" si="7"/>
        <v>105</v>
      </c>
      <c r="V7" s="19"/>
    </row>
    <row r="8" spans="1:22" ht="25.2" customHeight="1" x14ac:dyDescent="0.3">
      <c r="B8" s="63"/>
      <c r="C8" s="13" t="s">
        <v>18</v>
      </c>
      <c r="D8" s="66"/>
      <c r="E8" s="66"/>
      <c r="F8" s="66"/>
      <c r="G8" s="66"/>
      <c r="H8" s="15">
        <v>150</v>
      </c>
      <c r="I8" s="15">
        <v>45</v>
      </c>
      <c r="J8" s="3">
        <v>0.5</v>
      </c>
      <c r="K8" s="15">
        <f t="shared" si="0"/>
        <v>15</v>
      </c>
      <c r="L8" s="17">
        <v>1</v>
      </c>
      <c r="M8" s="15">
        <f t="shared" si="1"/>
        <v>0.5</v>
      </c>
      <c r="N8" s="15">
        <f t="shared" si="2"/>
        <v>15</v>
      </c>
      <c r="O8" s="3">
        <v>1</v>
      </c>
      <c r="P8" s="15">
        <f t="shared" si="3"/>
        <v>30</v>
      </c>
      <c r="Q8" s="17">
        <v>1</v>
      </c>
      <c r="R8" s="15">
        <f t="shared" si="4"/>
        <v>1</v>
      </c>
      <c r="S8" s="15">
        <f t="shared" si="5"/>
        <v>30</v>
      </c>
      <c r="T8" s="4">
        <f t="shared" si="6"/>
        <v>1.5</v>
      </c>
      <c r="U8" s="3">
        <f t="shared" si="7"/>
        <v>45</v>
      </c>
      <c r="V8" s="19"/>
    </row>
    <row r="9" spans="1:22" ht="54" x14ac:dyDescent="0.35">
      <c r="A9" s="8"/>
      <c r="B9" s="14" t="s">
        <v>381</v>
      </c>
      <c r="C9" s="64" t="s">
        <v>17</v>
      </c>
      <c r="D9" s="64">
        <v>14</v>
      </c>
      <c r="E9" s="64"/>
      <c r="F9" s="64" t="s">
        <v>156</v>
      </c>
      <c r="G9" s="16">
        <v>4</v>
      </c>
      <c r="H9" s="15">
        <v>120</v>
      </c>
      <c r="I9" s="15">
        <v>45</v>
      </c>
      <c r="J9" s="3">
        <v>0.5</v>
      </c>
      <c r="K9" s="15">
        <f t="shared" si="0"/>
        <v>15</v>
      </c>
      <c r="L9" s="17">
        <v>1</v>
      </c>
      <c r="M9" s="15">
        <f t="shared" si="1"/>
        <v>0.5</v>
      </c>
      <c r="N9" s="15">
        <f t="shared" si="2"/>
        <v>15</v>
      </c>
      <c r="O9" s="3">
        <v>1</v>
      </c>
      <c r="P9" s="15">
        <f t="shared" si="3"/>
        <v>30</v>
      </c>
      <c r="Q9" s="17">
        <v>1</v>
      </c>
      <c r="R9" s="15">
        <f t="shared" si="4"/>
        <v>1</v>
      </c>
      <c r="S9" s="15">
        <f t="shared" si="5"/>
        <v>30</v>
      </c>
      <c r="T9" s="4">
        <f t="shared" si="6"/>
        <v>1.5</v>
      </c>
      <c r="U9" s="3">
        <f t="shared" si="7"/>
        <v>45</v>
      </c>
      <c r="V9" s="10"/>
    </row>
    <row r="10" spans="1:22" ht="36" x14ac:dyDescent="0.3">
      <c r="A10" s="7"/>
      <c r="B10" s="14" t="s">
        <v>382</v>
      </c>
      <c r="C10" s="65"/>
      <c r="D10" s="65"/>
      <c r="E10" s="65"/>
      <c r="F10" s="65"/>
      <c r="G10" s="12">
        <v>3</v>
      </c>
      <c r="H10" s="15">
        <v>90</v>
      </c>
      <c r="I10" s="15">
        <v>30</v>
      </c>
      <c r="J10" s="3">
        <v>0.5</v>
      </c>
      <c r="K10" s="15">
        <f t="shared" si="0"/>
        <v>15</v>
      </c>
      <c r="L10" s="17">
        <v>1</v>
      </c>
      <c r="M10" s="15">
        <f t="shared" si="1"/>
        <v>0.5</v>
      </c>
      <c r="N10" s="15">
        <f t="shared" si="2"/>
        <v>15</v>
      </c>
      <c r="O10" s="3">
        <v>0.5</v>
      </c>
      <c r="P10" s="15">
        <f t="shared" si="3"/>
        <v>15</v>
      </c>
      <c r="Q10" s="17">
        <v>1</v>
      </c>
      <c r="R10" s="15">
        <f t="shared" si="4"/>
        <v>0.5</v>
      </c>
      <c r="S10" s="15">
        <f t="shared" si="5"/>
        <v>15</v>
      </c>
      <c r="T10" s="4">
        <f t="shared" si="6"/>
        <v>1</v>
      </c>
      <c r="U10" s="3">
        <f t="shared" si="7"/>
        <v>30</v>
      </c>
      <c r="V10" s="19"/>
    </row>
    <row r="11" spans="1:22" ht="54" x14ac:dyDescent="0.3">
      <c r="A11" s="7"/>
      <c r="B11" s="14" t="s">
        <v>383</v>
      </c>
      <c r="C11" s="65"/>
      <c r="D11" s="65"/>
      <c r="E11" s="65"/>
      <c r="F11" s="65"/>
      <c r="G11" s="12">
        <v>4</v>
      </c>
      <c r="H11" s="15">
        <v>120</v>
      </c>
      <c r="I11" s="15">
        <v>45</v>
      </c>
      <c r="J11" s="3">
        <v>0.5</v>
      </c>
      <c r="K11" s="15">
        <f t="shared" si="0"/>
        <v>15</v>
      </c>
      <c r="L11" s="17">
        <v>1</v>
      </c>
      <c r="M11" s="15">
        <f t="shared" si="1"/>
        <v>0.5</v>
      </c>
      <c r="N11" s="15">
        <f t="shared" si="2"/>
        <v>15</v>
      </c>
      <c r="O11" s="3">
        <v>1</v>
      </c>
      <c r="P11" s="15">
        <f t="shared" si="3"/>
        <v>30</v>
      </c>
      <c r="Q11" s="17">
        <v>1</v>
      </c>
      <c r="R11" s="15">
        <f t="shared" si="4"/>
        <v>1</v>
      </c>
      <c r="S11" s="15">
        <f t="shared" si="5"/>
        <v>30</v>
      </c>
      <c r="T11" s="4">
        <f t="shared" si="6"/>
        <v>1.5</v>
      </c>
      <c r="U11" s="3">
        <f t="shared" si="7"/>
        <v>45</v>
      </c>
      <c r="V11" s="19"/>
    </row>
    <row r="12" spans="1:22" ht="36" x14ac:dyDescent="0.3">
      <c r="A12" s="7"/>
      <c r="B12" s="14" t="s">
        <v>158</v>
      </c>
      <c r="C12" s="65"/>
      <c r="D12" s="65"/>
      <c r="E12" s="65"/>
      <c r="F12" s="65"/>
      <c r="G12" s="12">
        <v>4</v>
      </c>
      <c r="H12" s="15">
        <v>120</v>
      </c>
      <c r="I12" s="15">
        <v>45</v>
      </c>
      <c r="J12" s="3">
        <v>0.5</v>
      </c>
      <c r="K12" s="15">
        <f t="shared" si="0"/>
        <v>15</v>
      </c>
      <c r="L12" s="17">
        <v>1</v>
      </c>
      <c r="M12" s="15">
        <f t="shared" si="1"/>
        <v>0.5</v>
      </c>
      <c r="N12" s="15">
        <f t="shared" si="2"/>
        <v>15</v>
      </c>
      <c r="O12" s="3">
        <v>1</v>
      </c>
      <c r="P12" s="15">
        <f t="shared" si="3"/>
        <v>30</v>
      </c>
      <c r="Q12" s="17">
        <v>1</v>
      </c>
      <c r="R12" s="15">
        <f t="shared" si="4"/>
        <v>1</v>
      </c>
      <c r="S12" s="15">
        <f t="shared" si="5"/>
        <v>30</v>
      </c>
      <c r="T12" s="4">
        <f t="shared" si="6"/>
        <v>1.5</v>
      </c>
      <c r="U12" s="3">
        <f t="shared" si="7"/>
        <v>45</v>
      </c>
      <c r="V12" s="19"/>
    </row>
    <row r="13" spans="1:22" ht="54" x14ac:dyDescent="0.3">
      <c r="A13" s="7"/>
      <c r="B13" s="14" t="s">
        <v>384</v>
      </c>
      <c r="C13" s="65"/>
      <c r="D13" s="65"/>
      <c r="E13" s="65"/>
      <c r="F13" s="65"/>
      <c r="G13" s="12">
        <v>4</v>
      </c>
      <c r="H13" s="15">
        <v>120</v>
      </c>
      <c r="I13" s="15">
        <v>45</v>
      </c>
      <c r="J13" s="3">
        <v>0.5</v>
      </c>
      <c r="K13" s="15">
        <f t="shared" si="0"/>
        <v>15</v>
      </c>
      <c r="L13" s="17">
        <v>1</v>
      </c>
      <c r="M13" s="15">
        <f t="shared" si="1"/>
        <v>0.5</v>
      </c>
      <c r="N13" s="15">
        <f t="shared" si="2"/>
        <v>15</v>
      </c>
      <c r="O13" s="3">
        <v>1</v>
      </c>
      <c r="P13" s="15">
        <f t="shared" si="3"/>
        <v>30</v>
      </c>
      <c r="Q13" s="17">
        <v>1</v>
      </c>
      <c r="R13" s="15">
        <f t="shared" si="4"/>
        <v>1</v>
      </c>
      <c r="S13" s="15">
        <f t="shared" si="5"/>
        <v>30</v>
      </c>
      <c r="T13" s="4">
        <f t="shared" si="6"/>
        <v>1.5</v>
      </c>
      <c r="U13" s="3">
        <f t="shared" si="7"/>
        <v>45</v>
      </c>
      <c r="V13" s="19"/>
    </row>
    <row r="14" spans="1:22" x14ac:dyDescent="0.3">
      <c r="A14" s="7"/>
      <c r="B14" s="14" t="s">
        <v>386</v>
      </c>
      <c r="C14" s="65"/>
      <c r="D14" s="65"/>
      <c r="E14" s="65"/>
      <c r="F14" s="65"/>
      <c r="G14" s="12">
        <v>3</v>
      </c>
      <c r="H14" s="15">
        <v>90</v>
      </c>
      <c r="I14" s="15">
        <v>30</v>
      </c>
      <c r="J14" s="3">
        <v>0.5</v>
      </c>
      <c r="K14" s="15">
        <f t="shared" si="0"/>
        <v>15</v>
      </c>
      <c r="L14" s="17">
        <v>1</v>
      </c>
      <c r="M14" s="15">
        <f t="shared" si="1"/>
        <v>0.5</v>
      </c>
      <c r="N14" s="15">
        <f t="shared" si="2"/>
        <v>15</v>
      </c>
      <c r="O14" s="3">
        <v>0.5</v>
      </c>
      <c r="P14" s="15">
        <f t="shared" si="3"/>
        <v>15</v>
      </c>
      <c r="Q14" s="17">
        <v>1</v>
      </c>
      <c r="R14" s="15">
        <f t="shared" si="4"/>
        <v>0.5</v>
      </c>
      <c r="S14" s="15">
        <f t="shared" si="5"/>
        <v>15</v>
      </c>
      <c r="T14" s="4">
        <f t="shared" si="6"/>
        <v>1</v>
      </c>
      <c r="U14" s="3">
        <f t="shared" si="7"/>
        <v>30</v>
      </c>
      <c r="V14" s="19"/>
    </row>
    <row r="15" spans="1:22" ht="36" x14ac:dyDescent="0.3">
      <c r="A15" s="7"/>
      <c r="B15" s="14" t="s">
        <v>388</v>
      </c>
      <c r="C15" s="65"/>
      <c r="D15" s="65"/>
      <c r="E15" s="65"/>
      <c r="F15" s="65"/>
      <c r="G15" s="12">
        <v>3</v>
      </c>
      <c r="H15" s="15">
        <v>90</v>
      </c>
      <c r="I15" s="15">
        <v>30</v>
      </c>
      <c r="J15" s="3">
        <v>0.5</v>
      </c>
      <c r="K15" s="15">
        <f t="shared" si="0"/>
        <v>15</v>
      </c>
      <c r="L15" s="17">
        <v>1</v>
      </c>
      <c r="M15" s="15">
        <f t="shared" si="1"/>
        <v>0.5</v>
      </c>
      <c r="N15" s="15">
        <f t="shared" si="2"/>
        <v>15</v>
      </c>
      <c r="O15" s="3">
        <v>0.5</v>
      </c>
      <c r="P15" s="15">
        <f t="shared" si="3"/>
        <v>15</v>
      </c>
      <c r="Q15" s="17">
        <v>1</v>
      </c>
      <c r="R15" s="15">
        <f t="shared" si="4"/>
        <v>0.5</v>
      </c>
      <c r="S15" s="15">
        <f t="shared" si="5"/>
        <v>15</v>
      </c>
      <c r="T15" s="4">
        <f t="shared" si="6"/>
        <v>1</v>
      </c>
      <c r="U15" s="3">
        <f t="shared" si="7"/>
        <v>30</v>
      </c>
      <c r="V15" s="19"/>
    </row>
    <row r="16" spans="1:22" ht="72" x14ac:dyDescent="0.3">
      <c r="A16" s="7"/>
      <c r="B16" s="14" t="s">
        <v>389</v>
      </c>
      <c r="C16" s="66"/>
      <c r="D16" s="65"/>
      <c r="E16" s="65"/>
      <c r="F16" s="65"/>
      <c r="G16" s="12">
        <v>5</v>
      </c>
      <c r="H16" s="15">
        <v>150</v>
      </c>
      <c r="I16" s="15">
        <v>45</v>
      </c>
      <c r="J16" s="3">
        <v>0.5</v>
      </c>
      <c r="K16" s="15">
        <f t="shared" si="0"/>
        <v>15</v>
      </c>
      <c r="L16" s="17">
        <v>1</v>
      </c>
      <c r="M16" s="15">
        <f t="shared" si="1"/>
        <v>0.5</v>
      </c>
      <c r="N16" s="15">
        <f t="shared" si="2"/>
        <v>15</v>
      </c>
      <c r="O16" s="3">
        <v>1</v>
      </c>
      <c r="P16" s="15">
        <f t="shared" si="3"/>
        <v>30</v>
      </c>
      <c r="Q16" s="17">
        <v>1</v>
      </c>
      <c r="R16" s="15">
        <f t="shared" si="4"/>
        <v>1</v>
      </c>
      <c r="S16" s="15">
        <f t="shared" si="5"/>
        <v>30</v>
      </c>
      <c r="T16" s="4">
        <f t="shared" si="6"/>
        <v>1.5</v>
      </c>
      <c r="U16" s="3">
        <f t="shared" si="7"/>
        <v>45</v>
      </c>
      <c r="V16" s="19"/>
    </row>
    <row r="17" spans="1:22" x14ac:dyDescent="0.3">
      <c r="A17" s="7"/>
      <c r="B17" s="62" t="s">
        <v>390</v>
      </c>
      <c r="C17" s="13" t="s">
        <v>17</v>
      </c>
      <c r="D17" s="64">
        <v>48</v>
      </c>
      <c r="E17" s="64">
        <v>9</v>
      </c>
      <c r="F17" s="64" t="s">
        <v>167</v>
      </c>
      <c r="G17" s="64">
        <v>5</v>
      </c>
      <c r="H17" s="15">
        <v>150</v>
      </c>
      <c r="I17" s="15">
        <v>45</v>
      </c>
      <c r="J17" s="3">
        <v>0.5</v>
      </c>
      <c r="K17" s="15">
        <f t="shared" si="0"/>
        <v>15</v>
      </c>
      <c r="L17" s="17">
        <v>1</v>
      </c>
      <c r="M17" s="15">
        <f t="shared" si="1"/>
        <v>0.5</v>
      </c>
      <c r="N17" s="15">
        <f t="shared" si="2"/>
        <v>15</v>
      </c>
      <c r="O17" s="3">
        <v>1</v>
      </c>
      <c r="P17" s="15">
        <f t="shared" si="3"/>
        <v>30</v>
      </c>
      <c r="Q17" s="17">
        <v>2</v>
      </c>
      <c r="R17" s="15">
        <f t="shared" si="4"/>
        <v>2</v>
      </c>
      <c r="S17" s="15">
        <f t="shared" si="5"/>
        <v>60</v>
      </c>
      <c r="T17" s="4">
        <f t="shared" si="6"/>
        <v>2.5</v>
      </c>
      <c r="U17" s="3">
        <f t="shared" si="7"/>
        <v>75</v>
      </c>
      <c r="V17" s="19"/>
    </row>
    <row r="18" spans="1:22" x14ac:dyDescent="0.3">
      <c r="A18" s="7"/>
      <c r="B18" s="63"/>
      <c r="C18" s="13" t="s">
        <v>18</v>
      </c>
      <c r="D18" s="65"/>
      <c r="E18" s="65"/>
      <c r="F18" s="65"/>
      <c r="G18" s="66"/>
      <c r="H18" s="15">
        <v>150</v>
      </c>
      <c r="I18" s="15">
        <v>45</v>
      </c>
      <c r="J18" s="3">
        <v>0.5</v>
      </c>
      <c r="K18" s="15">
        <f t="shared" si="0"/>
        <v>15</v>
      </c>
      <c r="L18" s="17">
        <v>1</v>
      </c>
      <c r="M18" s="15">
        <f t="shared" si="1"/>
        <v>0.5</v>
      </c>
      <c r="N18" s="15">
        <f t="shared" si="2"/>
        <v>15</v>
      </c>
      <c r="O18" s="3">
        <v>1</v>
      </c>
      <c r="P18" s="15">
        <f t="shared" si="3"/>
        <v>30</v>
      </c>
      <c r="Q18" s="17">
        <v>1</v>
      </c>
      <c r="R18" s="15">
        <f t="shared" si="4"/>
        <v>1</v>
      </c>
      <c r="S18" s="15">
        <f t="shared" si="5"/>
        <v>30</v>
      </c>
      <c r="T18" s="4">
        <f t="shared" si="6"/>
        <v>1.5</v>
      </c>
      <c r="U18" s="3">
        <f t="shared" si="7"/>
        <v>45</v>
      </c>
      <c r="V18" s="19"/>
    </row>
    <row r="19" spans="1:22" x14ac:dyDescent="0.3">
      <c r="B19" s="62" t="s">
        <v>391</v>
      </c>
      <c r="C19" s="13" t="s">
        <v>17</v>
      </c>
      <c r="D19" s="65"/>
      <c r="E19" s="65"/>
      <c r="F19" s="65"/>
      <c r="G19" s="64">
        <v>5</v>
      </c>
      <c r="H19" s="15">
        <v>150</v>
      </c>
      <c r="I19" s="15">
        <v>45</v>
      </c>
      <c r="J19" s="3">
        <v>0.5</v>
      </c>
      <c r="K19" s="15">
        <f t="shared" si="0"/>
        <v>15</v>
      </c>
      <c r="L19" s="17">
        <v>1</v>
      </c>
      <c r="M19" s="15">
        <f t="shared" si="1"/>
        <v>0.5</v>
      </c>
      <c r="N19" s="15">
        <f t="shared" si="2"/>
        <v>15</v>
      </c>
      <c r="O19" s="3">
        <v>1</v>
      </c>
      <c r="P19" s="15">
        <f t="shared" si="3"/>
        <v>30</v>
      </c>
      <c r="Q19" s="17">
        <v>2</v>
      </c>
      <c r="R19" s="15">
        <f t="shared" si="4"/>
        <v>2</v>
      </c>
      <c r="S19" s="15">
        <f t="shared" si="5"/>
        <v>60</v>
      </c>
      <c r="T19" s="4">
        <f t="shared" si="6"/>
        <v>2.5</v>
      </c>
      <c r="U19" s="3">
        <f t="shared" si="7"/>
        <v>75</v>
      </c>
      <c r="V19" s="19"/>
    </row>
    <row r="20" spans="1:22" x14ac:dyDescent="0.3">
      <c r="B20" s="63"/>
      <c r="C20" s="13" t="s">
        <v>18</v>
      </c>
      <c r="D20" s="65"/>
      <c r="E20" s="65"/>
      <c r="F20" s="65"/>
      <c r="G20" s="66"/>
      <c r="H20" s="15">
        <v>150</v>
      </c>
      <c r="I20" s="15">
        <v>45</v>
      </c>
      <c r="J20" s="3">
        <v>0.5</v>
      </c>
      <c r="K20" s="15">
        <f t="shared" si="0"/>
        <v>15</v>
      </c>
      <c r="L20" s="17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17">
        <v>1</v>
      </c>
      <c r="R20" s="15">
        <f t="shared" si="4"/>
        <v>1</v>
      </c>
      <c r="S20" s="15">
        <f t="shared" si="5"/>
        <v>30</v>
      </c>
      <c r="T20" s="4">
        <f t="shared" si="6"/>
        <v>1.5</v>
      </c>
      <c r="U20" s="3">
        <f t="shared" si="7"/>
        <v>45</v>
      </c>
      <c r="V20" s="19"/>
    </row>
    <row r="21" spans="1:22" x14ac:dyDescent="0.3">
      <c r="B21" s="62" t="s">
        <v>392</v>
      </c>
      <c r="C21" s="13" t="s">
        <v>17</v>
      </c>
      <c r="D21" s="65"/>
      <c r="E21" s="65"/>
      <c r="F21" s="65"/>
      <c r="G21" s="64">
        <v>4</v>
      </c>
      <c r="H21" s="15">
        <v>120</v>
      </c>
      <c r="I21" s="15">
        <v>45</v>
      </c>
      <c r="J21" s="3">
        <v>0.5</v>
      </c>
      <c r="K21" s="15">
        <f t="shared" si="0"/>
        <v>15</v>
      </c>
      <c r="L21" s="17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17">
        <v>2</v>
      </c>
      <c r="R21" s="15">
        <f t="shared" si="4"/>
        <v>2</v>
      </c>
      <c r="S21" s="15">
        <f t="shared" si="5"/>
        <v>60</v>
      </c>
      <c r="T21" s="4">
        <f t="shared" si="6"/>
        <v>2.5</v>
      </c>
      <c r="U21" s="3">
        <f t="shared" si="7"/>
        <v>75</v>
      </c>
      <c r="V21" s="19"/>
    </row>
    <row r="22" spans="1:22" x14ac:dyDescent="0.3">
      <c r="B22" s="63"/>
      <c r="C22" s="13" t="s">
        <v>18</v>
      </c>
      <c r="D22" s="65"/>
      <c r="E22" s="65"/>
      <c r="F22" s="65"/>
      <c r="G22" s="66"/>
      <c r="H22" s="15">
        <v>120</v>
      </c>
      <c r="I22" s="15">
        <v>45</v>
      </c>
      <c r="J22" s="3">
        <v>0.5</v>
      </c>
      <c r="K22" s="15">
        <f t="shared" si="0"/>
        <v>15</v>
      </c>
      <c r="L22" s="17">
        <v>1</v>
      </c>
      <c r="M22" s="15">
        <f t="shared" si="1"/>
        <v>0.5</v>
      </c>
      <c r="N22" s="15">
        <f t="shared" si="2"/>
        <v>15</v>
      </c>
      <c r="O22" s="3">
        <v>1</v>
      </c>
      <c r="P22" s="15">
        <f t="shared" si="3"/>
        <v>30</v>
      </c>
      <c r="Q22" s="17">
        <v>1</v>
      </c>
      <c r="R22" s="15">
        <f t="shared" si="4"/>
        <v>1</v>
      </c>
      <c r="S22" s="15">
        <f t="shared" si="5"/>
        <v>30</v>
      </c>
      <c r="T22" s="4">
        <f t="shared" si="6"/>
        <v>1.5</v>
      </c>
      <c r="U22" s="3">
        <f t="shared" si="7"/>
        <v>45</v>
      </c>
      <c r="V22" s="19"/>
    </row>
    <row r="23" spans="1:22" x14ac:dyDescent="0.3">
      <c r="B23" s="62" t="s">
        <v>393</v>
      </c>
      <c r="C23" s="13" t="s">
        <v>17</v>
      </c>
      <c r="D23" s="65"/>
      <c r="E23" s="65"/>
      <c r="F23" s="65"/>
      <c r="G23" s="64">
        <v>6</v>
      </c>
      <c r="H23" s="15">
        <v>180</v>
      </c>
      <c r="I23" s="15">
        <v>60</v>
      </c>
      <c r="J23" s="3">
        <v>1</v>
      </c>
      <c r="K23" s="15">
        <f t="shared" si="0"/>
        <v>30</v>
      </c>
      <c r="L23" s="17">
        <v>1</v>
      </c>
      <c r="M23" s="15">
        <f t="shared" si="1"/>
        <v>1</v>
      </c>
      <c r="N23" s="15">
        <f t="shared" si="2"/>
        <v>30</v>
      </c>
      <c r="O23" s="3">
        <v>1</v>
      </c>
      <c r="P23" s="15">
        <f t="shared" si="3"/>
        <v>30</v>
      </c>
      <c r="Q23" s="17">
        <v>2</v>
      </c>
      <c r="R23" s="15">
        <f t="shared" si="4"/>
        <v>2</v>
      </c>
      <c r="S23" s="15">
        <f t="shared" si="5"/>
        <v>60</v>
      </c>
      <c r="T23" s="4">
        <f t="shared" si="6"/>
        <v>3</v>
      </c>
      <c r="U23" s="3">
        <f t="shared" si="7"/>
        <v>90</v>
      </c>
      <c r="V23" s="19"/>
    </row>
    <row r="24" spans="1:22" x14ac:dyDescent="0.3">
      <c r="B24" s="63"/>
      <c r="C24" s="13" t="s">
        <v>18</v>
      </c>
      <c r="D24" s="65"/>
      <c r="E24" s="65"/>
      <c r="F24" s="65"/>
      <c r="G24" s="66"/>
      <c r="H24" s="15">
        <v>180</v>
      </c>
      <c r="I24" s="15">
        <v>60</v>
      </c>
      <c r="J24" s="3">
        <v>1</v>
      </c>
      <c r="K24" s="15">
        <f t="shared" si="0"/>
        <v>30</v>
      </c>
      <c r="L24" s="17">
        <v>1</v>
      </c>
      <c r="M24" s="15">
        <f t="shared" si="1"/>
        <v>1</v>
      </c>
      <c r="N24" s="15">
        <f t="shared" si="2"/>
        <v>30</v>
      </c>
      <c r="O24" s="3">
        <v>1</v>
      </c>
      <c r="P24" s="15">
        <f t="shared" si="3"/>
        <v>30</v>
      </c>
      <c r="Q24" s="17">
        <v>1</v>
      </c>
      <c r="R24" s="15">
        <f t="shared" si="4"/>
        <v>1</v>
      </c>
      <c r="S24" s="15">
        <f t="shared" si="5"/>
        <v>30</v>
      </c>
      <c r="T24" s="4">
        <f t="shared" si="6"/>
        <v>2</v>
      </c>
      <c r="U24" s="3">
        <f t="shared" si="7"/>
        <v>60</v>
      </c>
      <c r="V24" s="19"/>
    </row>
    <row r="25" spans="1:22" ht="34.200000000000003" customHeight="1" x14ac:dyDescent="0.3">
      <c r="B25" s="62" t="s">
        <v>394</v>
      </c>
      <c r="C25" s="13" t="s">
        <v>17</v>
      </c>
      <c r="D25" s="65"/>
      <c r="E25" s="65"/>
      <c r="F25" s="65"/>
      <c r="G25" s="64">
        <v>5</v>
      </c>
      <c r="H25" s="15">
        <v>150</v>
      </c>
      <c r="I25" s="15">
        <v>45</v>
      </c>
      <c r="J25" s="3">
        <v>0.5</v>
      </c>
      <c r="K25" s="15">
        <f t="shared" si="0"/>
        <v>15</v>
      </c>
      <c r="L25" s="17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17">
        <v>2</v>
      </c>
      <c r="R25" s="15">
        <f t="shared" si="4"/>
        <v>2</v>
      </c>
      <c r="S25" s="15">
        <f t="shared" si="5"/>
        <v>60</v>
      </c>
      <c r="T25" s="4">
        <f t="shared" si="6"/>
        <v>2.5</v>
      </c>
      <c r="U25" s="3">
        <f t="shared" si="7"/>
        <v>75</v>
      </c>
      <c r="V25" s="19"/>
    </row>
    <row r="26" spans="1:22" ht="37.200000000000003" customHeight="1" x14ac:dyDescent="0.3">
      <c r="B26" s="63"/>
      <c r="C26" s="13" t="s">
        <v>18</v>
      </c>
      <c r="D26" s="65"/>
      <c r="E26" s="65"/>
      <c r="F26" s="65"/>
      <c r="G26" s="66"/>
      <c r="H26" s="15">
        <v>150</v>
      </c>
      <c r="I26" s="15">
        <v>45</v>
      </c>
      <c r="J26" s="3">
        <v>0.5</v>
      </c>
      <c r="K26" s="15">
        <f t="shared" si="0"/>
        <v>15</v>
      </c>
      <c r="L26" s="17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17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9"/>
    </row>
    <row r="27" spans="1:22" ht="33" customHeight="1" x14ac:dyDescent="0.35">
      <c r="A27" s="8"/>
      <c r="B27" s="62" t="s">
        <v>395</v>
      </c>
      <c r="C27" s="13" t="s">
        <v>17</v>
      </c>
      <c r="D27" s="65"/>
      <c r="E27" s="65"/>
      <c r="F27" s="65"/>
      <c r="G27" s="87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17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17">
        <v>2</v>
      </c>
      <c r="R27" s="15">
        <f t="shared" si="4"/>
        <v>2</v>
      </c>
      <c r="S27" s="15">
        <f t="shared" si="5"/>
        <v>60</v>
      </c>
      <c r="T27" s="4">
        <f t="shared" si="6"/>
        <v>2.5</v>
      </c>
      <c r="U27" s="3">
        <f t="shared" si="7"/>
        <v>75</v>
      </c>
      <c r="V27" s="10"/>
    </row>
    <row r="28" spans="1:22" ht="28.95" customHeight="1" x14ac:dyDescent="0.35">
      <c r="A28" s="8"/>
      <c r="B28" s="63"/>
      <c r="C28" s="13" t="s">
        <v>18</v>
      </c>
      <c r="D28" s="66"/>
      <c r="E28" s="66"/>
      <c r="F28" s="66"/>
      <c r="G28" s="88"/>
      <c r="H28" s="15">
        <v>150</v>
      </c>
      <c r="I28" s="15">
        <v>45</v>
      </c>
      <c r="J28" s="3">
        <v>0.5</v>
      </c>
      <c r="K28" s="15">
        <f t="shared" si="0"/>
        <v>15</v>
      </c>
      <c r="L28" s="17">
        <v>1</v>
      </c>
      <c r="M28" s="15">
        <f t="shared" si="1"/>
        <v>0.5</v>
      </c>
      <c r="N28" s="15">
        <f t="shared" si="2"/>
        <v>15</v>
      </c>
      <c r="O28" s="3">
        <v>1</v>
      </c>
      <c r="P28" s="15">
        <f t="shared" si="3"/>
        <v>30</v>
      </c>
      <c r="Q28" s="17">
        <v>1</v>
      </c>
      <c r="R28" s="15">
        <f t="shared" si="4"/>
        <v>1</v>
      </c>
      <c r="S28" s="15">
        <f t="shared" si="5"/>
        <v>30</v>
      </c>
      <c r="T28" s="4">
        <f t="shared" si="6"/>
        <v>1.5</v>
      </c>
      <c r="U28" s="3">
        <f t="shared" si="7"/>
        <v>45</v>
      </c>
      <c r="V28" s="20"/>
    </row>
    <row r="29" spans="1:22" x14ac:dyDescent="0.35">
      <c r="A29" s="8"/>
      <c r="B29" s="14" t="s">
        <v>396</v>
      </c>
      <c r="C29" s="64" t="s">
        <v>17</v>
      </c>
      <c r="D29" s="64">
        <v>14</v>
      </c>
      <c r="E29" s="64"/>
      <c r="F29" s="64" t="s">
        <v>23</v>
      </c>
      <c r="G29" s="16">
        <v>5</v>
      </c>
      <c r="H29" s="15">
        <v>150</v>
      </c>
      <c r="I29" s="15">
        <v>45</v>
      </c>
      <c r="J29" s="3">
        <v>0.5</v>
      </c>
      <c r="K29" s="15">
        <f t="shared" si="0"/>
        <v>15</v>
      </c>
      <c r="L29" s="17">
        <v>1</v>
      </c>
      <c r="M29" s="15">
        <f t="shared" si="1"/>
        <v>0.5</v>
      </c>
      <c r="N29" s="15">
        <f t="shared" si="2"/>
        <v>15</v>
      </c>
      <c r="O29" s="3">
        <v>1</v>
      </c>
      <c r="P29" s="15">
        <f t="shared" si="3"/>
        <v>30</v>
      </c>
      <c r="Q29" s="17">
        <v>1</v>
      </c>
      <c r="R29" s="15">
        <f t="shared" si="4"/>
        <v>1</v>
      </c>
      <c r="S29" s="15">
        <f t="shared" si="5"/>
        <v>30</v>
      </c>
      <c r="T29" s="4">
        <f t="shared" si="6"/>
        <v>1.5</v>
      </c>
      <c r="U29" s="3">
        <f t="shared" si="7"/>
        <v>45</v>
      </c>
      <c r="V29" s="25" t="s">
        <v>594</v>
      </c>
    </row>
    <row r="30" spans="1:22" ht="36" x14ac:dyDescent="0.3">
      <c r="A30" s="7"/>
      <c r="B30" s="14" t="s">
        <v>397</v>
      </c>
      <c r="C30" s="65"/>
      <c r="D30" s="65"/>
      <c r="E30" s="65"/>
      <c r="F30" s="65"/>
      <c r="G30" s="12">
        <v>5</v>
      </c>
      <c r="H30" s="15">
        <v>150</v>
      </c>
      <c r="I30" s="15">
        <v>45</v>
      </c>
      <c r="J30" s="3">
        <v>0.5</v>
      </c>
      <c r="K30" s="15">
        <f t="shared" si="0"/>
        <v>15</v>
      </c>
      <c r="L30" s="17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17">
        <v>1</v>
      </c>
      <c r="R30" s="15">
        <f t="shared" si="4"/>
        <v>1</v>
      </c>
      <c r="S30" s="15">
        <f t="shared" si="5"/>
        <v>30</v>
      </c>
      <c r="T30" s="4">
        <f t="shared" si="6"/>
        <v>1.5</v>
      </c>
      <c r="U30" s="3">
        <f t="shared" si="7"/>
        <v>45</v>
      </c>
      <c r="V30" s="53" t="s">
        <v>599</v>
      </c>
    </row>
    <row r="31" spans="1:22" x14ac:dyDescent="0.3">
      <c r="A31" s="7"/>
      <c r="B31" s="14" t="s">
        <v>34</v>
      </c>
      <c r="C31" s="65"/>
      <c r="D31" s="65"/>
      <c r="E31" s="65"/>
      <c r="F31" s="65"/>
      <c r="G31" s="12">
        <v>5</v>
      </c>
      <c r="H31" s="15">
        <v>150</v>
      </c>
      <c r="I31" s="15">
        <v>45</v>
      </c>
      <c r="J31" s="3">
        <v>0</v>
      </c>
      <c r="K31" s="15">
        <f t="shared" si="0"/>
        <v>0</v>
      </c>
      <c r="L31" s="17">
        <v>0</v>
      </c>
      <c r="M31" s="15">
        <f t="shared" si="1"/>
        <v>0</v>
      </c>
      <c r="N31" s="15">
        <f t="shared" si="2"/>
        <v>0</v>
      </c>
      <c r="O31" s="3">
        <v>1.5</v>
      </c>
      <c r="P31" s="15">
        <f t="shared" si="3"/>
        <v>45</v>
      </c>
      <c r="Q31" s="17">
        <v>1</v>
      </c>
      <c r="R31" s="15">
        <f t="shared" si="4"/>
        <v>1.5</v>
      </c>
      <c r="S31" s="15">
        <f t="shared" si="5"/>
        <v>45</v>
      </c>
      <c r="T31" s="4">
        <f t="shared" si="6"/>
        <v>1.5</v>
      </c>
      <c r="U31" s="3">
        <f t="shared" si="7"/>
        <v>45</v>
      </c>
      <c r="V31" s="19"/>
    </row>
    <row r="32" spans="1:22" x14ac:dyDescent="0.3">
      <c r="A32" s="7"/>
      <c r="B32" s="14" t="s">
        <v>385</v>
      </c>
      <c r="C32" s="65"/>
      <c r="D32" s="65"/>
      <c r="E32" s="65"/>
      <c r="F32" s="65"/>
      <c r="G32" s="12">
        <v>5</v>
      </c>
      <c r="H32" s="15">
        <v>150</v>
      </c>
      <c r="I32" s="15">
        <v>45</v>
      </c>
      <c r="J32" s="3">
        <v>0.5</v>
      </c>
      <c r="K32" s="15">
        <f t="shared" si="0"/>
        <v>15</v>
      </c>
      <c r="L32" s="17">
        <v>1</v>
      </c>
      <c r="M32" s="15">
        <f t="shared" si="1"/>
        <v>0.5</v>
      </c>
      <c r="N32" s="15">
        <f t="shared" si="2"/>
        <v>15</v>
      </c>
      <c r="O32" s="3">
        <v>1</v>
      </c>
      <c r="P32" s="15">
        <f t="shared" si="3"/>
        <v>30</v>
      </c>
      <c r="Q32" s="17">
        <v>1</v>
      </c>
      <c r="R32" s="15">
        <f t="shared" si="4"/>
        <v>1</v>
      </c>
      <c r="S32" s="15">
        <f t="shared" si="5"/>
        <v>30</v>
      </c>
      <c r="T32" s="4">
        <f t="shared" si="6"/>
        <v>1.5</v>
      </c>
      <c r="U32" s="3">
        <f t="shared" si="7"/>
        <v>45</v>
      </c>
      <c r="V32" s="19"/>
    </row>
    <row r="33" spans="1:22" ht="54" x14ac:dyDescent="0.3">
      <c r="A33" s="7"/>
      <c r="B33" s="54" t="s">
        <v>387</v>
      </c>
      <c r="C33" s="65"/>
      <c r="D33" s="65"/>
      <c r="E33" s="65"/>
      <c r="F33" s="65"/>
      <c r="G33" s="12">
        <v>5</v>
      </c>
      <c r="H33" s="15">
        <v>150</v>
      </c>
      <c r="I33" s="15">
        <v>45</v>
      </c>
      <c r="J33" s="3">
        <v>0.5</v>
      </c>
      <c r="K33" s="15">
        <f t="shared" si="0"/>
        <v>15</v>
      </c>
      <c r="L33" s="17">
        <v>1</v>
      </c>
      <c r="M33" s="15">
        <f t="shared" si="1"/>
        <v>0.5</v>
      </c>
      <c r="N33" s="15">
        <f t="shared" si="2"/>
        <v>15</v>
      </c>
      <c r="O33" s="3">
        <v>1</v>
      </c>
      <c r="P33" s="15">
        <f t="shared" si="3"/>
        <v>30</v>
      </c>
      <c r="Q33" s="17">
        <v>1</v>
      </c>
      <c r="R33" s="15">
        <f t="shared" si="4"/>
        <v>1</v>
      </c>
      <c r="S33" s="15">
        <f t="shared" si="5"/>
        <v>30</v>
      </c>
      <c r="T33" s="4">
        <f t="shared" si="6"/>
        <v>1.5</v>
      </c>
      <c r="U33" s="3">
        <f t="shared" si="7"/>
        <v>45</v>
      </c>
      <c r="V33" s="19"/>
    </row>
    <row r="34" spans="1:22" ht="46.2" customHeight="1" x14ac:dyDescent="0.3">
      <c r="A34" s="7"/>
      <c r="B34" s="14" t="s">
        <v>608</v>
      </c>
      <c r="C34" s="65"/>
      <c r="D34" s="65"/>
      <c r="E34" s="65"/>
      <c r="F34" s="65"/>
      <c r="G34" s="12">
        <v>5</v>
      </c>
      <c r="H34" s="15">
        <v>150</v>
      </c>
      <c r="I34" s="15">
        <v>45</v>
      </c>
      <c r="J34" s="3">
        <v>0.5</v>
      </c>
      <c r="K34" s="15">
        <f t="shared" si="0"/>
        <v>15</v>
      </c>
      <c r="L34" s="17">
        <v>1</v>
      </c>
      <c r="M34" s="15">
        <f t="shared" si="1"/>
        <v>0.5</v>
      </c>
      <c r="N34" s="15">
        <f t="shared" si="2"/>
        <v>15</v>
      </c>
      <c r="O34" s="3">
        <v>1</v>
      </c>
      <c r="P34" s="15">
        <f t="shared" si="3"/>
        <v>30</v>
      </c>
      <c r="Q34" s="17">
        <v>1</v>
      </c>
      <c r="R34" s="15">
        <f t="shared" si="4"/>
        <v>1</v>
      </c>
      <c r="S34" s="15">
        <f t="shared" si="5"/>
        <v>30</v>
      </c>
      <c r="T34" s="4">
        <f t="shared" si="6"/>
        <v>1.5</v>
      </c>
      <c r="U34" s="3">
        <f t="shared" si="7"/>
        <v>45</v>
      </c>
      <c r="V34" s="19" t="s">
        <v>595</v>
      </c>
    </row>
    <row r="35" spans="1:22" ht="47.4" customHeight="1" x14ac:dyDescent="0.35">
      <c r="A35" s="7"/>
      <c r="B35" s="14" t="s">
        <v>609</v>
      </c>
      <c r="C35" s="66"/>
      <c r="D35" s="65"/>
      <c r="E35" s="65"/>
      <c r="F35" s="65"/>
      <c r="G35" s="12">
        <v>6</v>
      </c>
      <c r="H35" s="15">
        <v>180</v>
      </c>
      <c r="I35" s="15">
        <v>60</v>
      </c>
      <c r="J35" s="3">
        <v>1</v>
      </c>
      <c r="K35" s="15">
        <f t="shared" si="0"/>
        <v>30</v>
      </c>
      <c r="L35" s="17">
        <v>1</v>
      </c>
      <c r="M35" s="15">
        <f t="shared" si="1"/>
        <v>1</v>
      </c>
      <c r="N35" s="15">
        <f t="shared" si="2"/>
        <v>30</v>
      </c>
      <c r="O35" s="3">
        <v>1</v>
      </c>
      <c r="P35" s="15">
        <f t="shared" si="3"/>
        <v>30</v>
      </c>
      <c r="Q35" s="17">
        <v>1</v>
      </c>
      <c r="R35" s="15">
        <f t="shared" si="4"/>
        <v>1</v>
      </c>
      <c r="S35" s="15">
        <f t="shared" si="5"/>
        <v>30</v>
      </c>
      <c r="T35" s="4">
        <f t="shared" si="6"/>
        <v>2</v>
      </c>
      <c r="U35" s="3">
        <f t="shared" si="7"/>
        <v>60</v>
      </c>
      <c r="V35" s="25" t="s">
        <v>594</v>
      </c>
    </row>
    <row r="36" spans="1:22" x14ac:dyDescent="0.3">
      <c r="A36" s="7"/>
      <c r="B36" s="14" t="s">
        <v>399</v>
      </c>
      <c r="C36" s="64" t="s">
        <v>17</v>
      </c>
      <c r="D36" s="64">
        <v>12</v>
      </c>
      <c r="E36" s="64"/>
      <c r="F36" s="64" t="s">
        <v>28</v>
      </c>
      <c r="G36" s="12">
        <v>5</v>
      </c>
      <c r="H36" s="15">
        <v>150</v>
      </c>
      <c r="I36" s="15">
        <v>45</v>
      </c>
      <c r="J36" s="3">
        <v>0.5</v>
      </c>
      <c r="K36" s="15">
        <f t="shared" si="0"/>
        <v>15</v>
      </c>
      <c r="L36" s="17">
        <v>1</v>
      </c>
      <c r="M36" s="15">
        <f t="shared" si="1"/>
        <v>0.5</v>
      </c>
      <c r="N36" s="15">
        <f t="shared" si="2"/>
        <v>15</v>
      </c>
      <c r="O36" s="3">
        <v>1</v>
      </c>
      <c r="P36" s="15">
        <f t="shared" si="3"/>
        <v>30</v>
      </c>
      <c r="Q36" s="17">
        <v>1</v>
      </c>
      <c r="R36" s="15">
        <f t="shared" si="4"/>
        <v>1</v>
      </c>
      <c r="S36" s="15">
        <f t="shared" si="5"/>
        <v>30</v>
      </c>
      <c r="T36" s="4">
        <f t="shared" si="6"/>
        <v>1.5</v>
      </c>
      <c r="U36" s="3">
        <f t="shared" si="7"/>
        <v>45</v>
      </c>
      <c r="V36" s="19"/>
    </row>
    <row r="37" spans="1:22" ht="36" x14ac:dyDescent="0.3">
      <c r="B37" s="14" t="s">
        <v>400</v>
      </c>
      <c r="C37" s="65"/>
      <c r="D37" s="65"/>
      <c r="E37" s="65"/>
      <c r="F37" s="65"/>
      <c r="G37" s="12">
        <v>5</v>
      </c>
      <c r="H37" s="15">
        <v>150</v>
      </c>
      <c r="I37" s="15">
        <v>45</v>
      </c>
      <c r="J37" s="3">
        <v>0.5</v>
      </c>
      <c r="K37" s="15">
        <f t="shared" si="0"/>
        <v>15</v>
      </c>
      <c r="L37" s="17">
        <v>1</v>
      </c>
      <c r="M37" s="15">
        <f t="shared" si="1"/>
        <v>0.5</v>
      </c>
      <c r="N37" s="15">
        <f t="shared" si="2"/>
        <v>15</v>
      </c>
      <c r="O37" s="3">
        <v>1</v>
      </c>
      <c r="P37" s="15">
        <f t="shared" si="3"/>
        <v>30</v>
      </c>
      <c r="Q37" s="17">
        <v>1</v>
      </c>
      <c r="R37" s="15">
        <f t="shared" si="4"/>
        <v>1</v>
      </c>
      <c r="S37" s="15">
        <f t="shared" si="5"/>
        <v>30</v>
      </c>
      <c r="T37" s="4">
        <f t="shared" si="6"/>
        <v>1.5</v>
      </c>
      <c r="U37" s="3">
        <f t="shared" si="7"/>
        <v>45</v>
      </c>
      <c r="V37" s="19"/>
    </row>
    <row r="38" spans="1:22" ht="36" x14ac:dyDescent="0.3">
      <c r="B38" s="14" t="s">
        <v>401</v>
      </c>
      <c r="C38" s="65"/>
      <c r="D38" s="65"/>
      <c r="E38" s="65"/>
      <c r="F38" s="65"/>
      <c r="G38" s="12">
        <v>5</v>
      </c>
      <c r="H38" s="15">
        <v>150</v>
      </c>
      <c r="I38" s="15">
        <v>45</v>
      </c>
      <c r="J38" s="3">
        <v>0.5</v>
      </c>
      <c r="K38" s="15">
        <f t="shared" si="0"/>
        <v>15</v>
      </c>
      <c r="L38" s="17">
        <v>1</v>
      </c>
      <c r="M38" s="15">
        <f t="shared" si="1"/>
        <v>0.5</v>
      </c>
      <c r="N38" s="15">
        <f t="shared" si="2"/>
        <v>15</v>
      </c>
      <c r="O38" s="3">
        <v>1</v>
      </c>
      <c r="P38" s="15">
        <f t="shared" si="3"/>
        <v>30</v>
      </c>
      <c r="Q38" s="17">
        <v>1</v>
      </c>
      <c r="R38" s="15">
        <f t="shared" si="4"/>
        <v>1</v>
      </c>
      <c r="S38" s="15">
        <f t="shared" si="5"/>
        <v>30</v>
      </c>
      <c r="T38" s="4">
        <f t="shared" si="6"/>
        <v>1.5</v>
      </c>
      <c r="U38" s="3">
        <f t="shared" si="7"/>
        <v>45</v>
      </c>
      <c r="V38" s="19"/>
    </row>
    <row r="39" spans="1:22" x14ac:dyDescent="0.3">
      <c r="B39" s="14" t="s">
        <v>402</v>
      </c>
      <c r="C39" s="65"/>
      <c r="D39" s="65"/>
      <c r="E39" s="65"/>
      <c r="F39" s="65"/>
      <c r="G39" s="12">
        <v>5</v>
      </c>
      <c r="H39" s="15">
        <v>150</v>
      </c>
      <c r="I39" s="15">
        <v>45</v>
      </c>
      <c r="J39" s="3">
        <v>0.5</v>
      </c>
      <c r="K39" s="15">
        <f t="shared" si="0"/>
        <v>15</v>
      </c>
      <c r="L39" s="17">
        <v>1</v>
      </c>
      <c r="M39" s="15">
        <f t="shared" si="1"/>
        <v>0.5</v>
      </c>
      <c r="N39" s="15">
        <f t="shared" si="2"/>
        <v>15</v>
      </c>
      <c r="O39" s="3">
        <v>1</v>
      </c>
      <c r="P39" s="15">
        <f t="shared" si="3"/>
        <v>30</v>
      </c>
      <c r="Q39" s="17">
        <v>1</v>
      </c>
      <c r="R39" s="15">
        <f t="shared" si="4"/>
        <v>1</v>
      </c>
      <c r="S39" s="15">
        <f t="shared" si="5"/>
        <v>30</v>
      </c>
      <c r="T39" s="4">
        <f t="shared" si="6"/>
        <v>1.5</v>
      </c>
      <c r="U39" s="3">
        <f t="shared" si="7"/>
        <v>45</v>
      </c>
      <c r="V39" s="19"/>
    </row>
    <row r="40" spans="1:22" ht="54" x14ac:dyDescent="0.3">
      <c r="B40" s="14" t="s">
        <v>403</v>
      </c>
      <c r="C40" s="65"/>
      <c r="D40" s="65"/>
      <c r="E40" s="65"/>
      <c r="F40" s="65"/>
      <c r="G40" s="12">
        <v>5</v>
      </c>
      <c r="H40" s="15">
        <v>150</v>
      </c>
      <c r="I40" s="15">
        <v>45</v>
      </c>
      <c r="J40" s="3">
        <v>0.5</v>
      </c>
      <c r="K40" s="15">
        <f t="shared" si="0"/>
        <v>15</v>
      </c>
      <c r="L40" s="17">
        <v>1</v>
      </c>
      <c r="M40" s="15">
        <f t="shared" si="1"/>
        <v>0.5</v>
      </c>
      <c r="N40" s="15">
        <f t="shared" si="2"/>
        <v>15</v>
      </c>
      <c r="O40" s="3">
        <v>1</v>
      </c>
      <c r="P40" s="15">
        <f t="shared" si="3"/>
        <v>30</v>
      </c>
      <c r="Q40" s="17">
        <v>1</v>
      </c>
      <c r="R40" s="15">
        <f t="shared" si="4"/>
        <v>1</v>
      </c>
      <c r="S40" s="15">
        <f t="shared" si="5"/>
        <v>30</v>
      </c>
      <c r="T40" s="4">
        <f t="shared" si="6"/>
        <v>1.5</v>
      </c>
      <c r="U40" s="3">
        <f t="shared" si="7"/>
        <v>45</v>
      </c>
      <c r="V40" s="19"/>
    </row>
    <row r="41" spans="1:22" ht="54" x14ac:dyDescent="0.35">
      <c r="A41" s="8"/>
      <c r="B41" s="14" t="s">
        <v>404</v>
      </c>
      <c r="C41" s="66"/>
      <c r="D41" s="65"/>
      <c r="E41" s="65"/>
      <c r="F41" s="65"/>
      <c r="G41" s="16">
        <v>5</v>
      </c>
      <c r="H41" s="15">
        <v>150</v>
      </c>
      <c r="I41" s="15">
        <v>45</v>
      </c>
      <c r="J41" s="3">
        <v>0.5</v>
      </c>
      <c r="K41" s="15">
        <f t="shared" si="0"/>
        <v>15</v>
      </c>
      <c r="L41" s="17">
        <v>1</v>
      </c>
      <c r="M41" s="15">
        <f t="shared" si="1"/>
        <v>0.5</v>
      </c>
      <c r="N41" s="15">
        <f t="shared" si="2"/>
        <v>15</v>
      </c>
      <c r="O41" s="3">
        <v>1</v>
      </c>
      <c r="P41" s="15">
        <f t="shared" si="3"/>
        <v>30</v>
      </c>
      <c r="Q41" s="17">
        <v>1</v>
      </c>
      <c r="R41" s="15">
        <f t="shared" si="4"/>
        <v>1</v>
      </c>
      <c r="S41" s="15">
        <f t="shared" si="5"/>
        <v>30</v>
      </c>
      <c r="T41" s="4">
        <f t="shared" si="6"/>
        <v>1.5</v>
      </c>
      <c r="U41" s="3">
        <f t="shared" si="7"/>
        <v>45</v>
      </c>
      <c r="V41" s="10"/>
    </row>
    <row r="42" spans="1:22" x14ac:dyDescent="0.35">
      <c r="A42" s="8"/>
      <c r="B42" s="14" t="s">
        <v>370</v>
      </c>
      <c r="C42" s="64" t="s">
        <v>206</v>
      </c>
      <c r="D42" s="64">
        <v>28</v>
      </c>
      <c r="E42" s="64">
        <v>21</v>
      </c>
      <c r="F42" s="64" t="s">
        <v>29</v>
      </c>
      <c r="G42" s="16">
        <v>6</v>
      </c>
      <c r="H42" s="15">
        <v>180</v>
      </c>
      <c r="I42" s="15">
        <v>60</v>
      </c>
      <c r="J42" s="3">
        <v>0</v>
      </c>
      <c r="K42" s="15">
        <f t="shared" si="0"/>
        <v>0</v>
      </c>
      <c r="L42" s="17">
        <v>0</v>
      </c>
      <c r="M42" s="15">
        <f t="shared" si="1"/>
        <v>0</v>
      </c>
      <c r="N42" s="15">
        <f t="shared" si="2"/>
        <v>0</v>
      </c>
      <c r="O42" s="3">
        <v>2</v>
      </c>
      <c r="P42" s="15">
        <f t="shared" si="3"/>
        <v>60</v>
      </c>
      <c r="Q42" s="9">
        <v>3</v>
      </c>
      <c r="R42" s="15">
        <f t="shared" si="4"/>
        <v>6</v>
      </c>
      <c r="S42" s="15">
        <f t="shared" si="5"/>
        <v>180</v>
      </c>
      <c r="T42" s="4">
        <f t="shared" si="6"/>
        <v>6</v>
      </c>
      <c r="U42" s="3">
        <f t="shared" si="7"/>
        <v>180</v>
      </c>
      <c r="V42" s="10"/>
    </row>
    <row r="43" spans="1:22" ht="38.549999999999997" customHeight="1" x14ac:dyDescent="0.3">
      <c r="A43" s="7"/>
      <c r="B43" s="14" t="s">
        <v>405</v>
      </c>
      <c r="C43" s="65"/>
      <c r="D43" s="65"/>
      <c r="E43" s="65"/>
      <c r="F43" s="65"/>
      <c r="G43" s="12">
        <v>6</v>
      </c>
      <c r="H43" s="15">
        <v>180</v>
      </c>
      <c r="I43" s="15">
        <v>60</v>
      </c>
      <c r="J43" s="3">
        <v>1</v>
      </c>
      <c r="K43" s="15">
        <f t="shared" si="0"/>
        <v>30</v>
      </c>
      <c r="L43" s="38">
        <v>2</v>
      </c>
      <c r="M43" s="15">
        <f t="shared" si="1"/>
        <v>2</v>
      </c>
      <c r="N43" s="15">
        <f t="shared" si="2"/>
        <v>60</v>
      </c>
      <c r="O43" s="3">
        <v>1</v>
      </c>
      <c r="P43" s="15">
        <f t="shared" si="3"/>
        <v>30</v>
      </c>
      <c r="Q43" s="38">
        <v>4</v>
      </c>
      <c r="R43" s="15">
        <f t="shared" si="4"/>
        <v>4</v>
      </c>
      <c r="S43" s="15">
        <f t="shared" si="5"/>
        <v>120</v>
      </c>
      <c r="T43" s="4">
        <f t="shared" si="6"/>
        <v>6</v>
      </c>
      <c r="U43" s="3">
        <f t="shared" si="7"/>
        <v>180</v>
      </c>
      <c r="V43" s="29" t="s">
        <v>417</v>
      </c>
    </row>
    <row r="44" spans="1:22" x14ac:dyDescent="0.3">
      <c r="A44" s="7"/>
      <c r="B44" s="14" t="s">
        <v>406</v>
      </c>
      <c r="C44" s="65"/>
      <c r="D44" s="65"/>
      <c r="E44" s="65"/>
      <c r="F44" s="65"/>
      <c r="G44" s="12">
        <v>6</v>
      </c>
      <c r="H44" s="15">
        <v>180</v>
      </c>
      <c r="I44" s="15">
        <v>60</v>
      </c>
      <c r="J44" s="3">
        <v>1</v>
      </c>
      <c r="K44" s="15">
        <f t="shared" si="0"/>
        <v>30</v>
      </c>
      <c r="L44" s="17">
        <v>1</v>
      </c>
      <c r="M44" s="15">
        <f t="shared" si="1"/>
        <v>1</v>
      </c>
      <c r="N44" s="15">
        <f t="shared" si="2"/>
        <v>30</v>
      </c>
      <c r="O44" s="3">
        <v>1</v>
      </c>
      <c r="P44" s="15">
        <f t="shared" si="3"/>
        <v>30</v>
      </c>
      <c r="Q44" s="17">
        <v>3</v>
      </c>
      <c r="R44" s="15">
        <f t="shared" si="4"/>
        <v>3</v>
      </c>
      <c r="S44" s="15">
        <f t="shared" si="5"/>
        <v>90</v>
      </c>
      <c r="T44" s="4">
        <f t="shared" si="6"/>
        <v>4</v>
      </c>
      <c r="U44" s="3">
        <f t="shared" si="7"/>
        <v>120</v>
      </c>
      <c r="V44" s="19"/>
    </row>
    <row r="45" spans="1:22" ht="72" x14ac:dyDescent="0.3">
      <c r="A45" s="7"/>
      <c r="B45" s="14" t="s">
        <v>407</v>
      </c>
      <c r="C45" s="65"/>
      <c r="D45" s="65"/>
      <c r="E45" s="65"/>
      <c r="F45" s="65"/>
      <c r="G45" s="12">
        <v>6</v>
      </c>
      <c r="H45" s="15">
        <v>180</v>
      </c>
      <c r="I45" s="15">
        <v>60</v>
      </c>
      <c r="J45" s="3">
        <v>1</v>
      </c>
      <c r="K45" s="15">
        <f t="shared" si="0"/>
        <v>30</v>
      </c>
      <c r="L45" s="17">
        <v>1</v>
      </c>
      <c r="M45" s="15">
        <f t="shared" si="1"/>
        <v>1</v>
      </c>
      <c r="N45" s="15">
        <f t="shared" si="2"/>
        <v>30</v>
      </c>
      <c r="O45" s="3">
        <v>1</v>
      </c>
      <c r="P45" s="15">
        <f t="shared" si="3"/>
        <v>30</v>
      </c>
      <c r="Q45" s="17">
        <v>3</v>
      </c>
      <c r="R45" s="15">
        <f t="shared" si="4"/>
        <v>3</v>
      </c>
      <c r="S45" s="15">
        <f t="shared" si="5"/>
        <v>90</v>
      </c>
      <c r="T45" s="4">
        <f t="shared" si="6"/>
        <v>4</v>
      </c>
      <c r="U45" s="3">
        <f t="shared" si="7"/>
        <v>120</v>
      </c>
      <c r="V45" s="19"/>
    </row>
    <row r="46" spans="1:22" ht="108" x14ac:dyDescent="0.3">
      <c r="A46" s="7"/>
      <c r="B46" s="14" t="s">
        <v>408</v>
      </c>
      <c r="C46" s="66"/>
      <c r="D46" s="65"/>
      <c r="E46" s="65"/>
      <c r="F46" s="65"/>
      <c r="G46" s="12">
        <v>6</v>
      </c>
      <c r="H46" s="15">
        <v>180</v>
      </c>
      <c r="I46" s="15">
        <v>60</v>
      </c>
      <c r="J46" s="3">
        <v>0</v>
      </c>
      <c r="K46" s="15">
        <f t="shared" si="0"/>
        <v>0</v>
      </c>
      <c r="L46" s="17">
        <v>0</v>
      </c>
      <c r="M46" s="15">
        <f t="shared" si="1"/>
        <v>0</v>
      </c>
      <c r="N46" s="15">
        <f t="shared" si="2"/>
        <v>0</v>
      </c>
      <c r="O46" s="3">
        <v>2</v>
      </c>
      <c r="P46" s="15">
        <f t="shared" si="3"/>
        <v>60</v>
      </c>
      <c r="Q46" s="38">
        <v>4</v>
      </c>
      <c r="R46" s="15">
        <f t="shared" si="4"/>
        <v>8</v>
      </c>
      <c r="S46" s="15">
        <f t="shared" si="5"/>
        <v>240</v>
      </c>
      <c r="T46" s="4">
        <f t="shared" si="6"/>
        <v>8</v>
      </c>
      <c r="U46" s="3">
        <f t="shared" si="7"/>
        <v>240</v>
      </c>
      <c r="V46" s="29" t="s">
        <v>417</v>
      </c>
    </row>
    <row r="47" spans="1:22" x14ac:dyDescent="0.3">
      <c r="A47" s="7"/>
      <c r="B47" s="62" t="s">
        <v>385</v>
      </c>
      <c r="C47" s="13" t="s">
        <v>17</v>
      </c>
      <c r="D47" s="65"/>
      <c r="E47" s="65"/>
      <c r="F47" s="65"/>
      <c r="G47" s="64">
        <v>5</v>
      </c>
      <c r="H47" s="15">
        <v>150</v>
      </c>
      <c r="I47" s="15">
        <v>45</v>
      </c>
      <c r="J47" s="3">
        <v>0.5</v>
      </c>
      <c r="K47" s="15">
        <f t="shared" si="0"/>
        <v>15</v>
      </c>
      <c r="L47" s="17">
        <v>1</v>
      </c>
      <c r="M47" s="15">
        <f t="shared" si="1"/>
        <v>0.5</v>
      </c>
      <c r="N47" s="15">
        <f t="shared" si="2"/>
        <v>15</v>
      </c>
      <c r="O47" s="3">
        <v>1</v>
      </c>
      <c r="P47" s="15">
        <f t="shared" si="3"/>
        <v>30</v>
      </c>
      <c r="Q47" s="17">
        <v>1</v>
      </c>
      <c r="R47" s="15">
        <f t="shared" si="4"/>
        <v>1</v>
      </c>
      <c r="S47" s="15">
        <f t="shared" si="5"/>
        <v>30</v>
      </c>
      <c r="T47" s="4">
        <f t="shared" si="6"/>
        <v>1.5</v>
      </c>
      <c r="U47" s="3">
        <f t="shared" si="7"/>
        <v>45</v>
      </c>
      <c r="V47" s="19"/>
    </row>
    <row r="48" spans="1:22" x14ac:dyDescent="0.3">
      <c r="A48" s="7"/>
      <c r="B48" s="63"/>
      <c r="C48" s="13" t="s">
        <v>18</v>
      </c>
      <c r="D48" s="65"/>
      <c r="E48" s="65"/>
      <c r="F48" s="65"/>
      <c r="G48" s="66"/>
      <c r="H48" s="15">
        <v>150</v>
      </c>
      <c r="I48" s="15">
        <v>45</v>
      </c>
      <c r="J48" s="3">
        <v>0.5</v>
      </c>
      <c r="K48" s="15">
        <f t="shared" si="0"/>
        <v>15</v>
      </c>
      <c r="L48" s="17">
        <v>1</v>
      </c>
      <c r="M48" s="15">
        <f t="shared" si="1"/>
        <v>0.5</v>
      </c>
      <c r="N48" s="15">
        <f t="shared" si="2"/>
        <v>15</v>
      </c>
      <c r="O48" s="3">
        <v>1</v>
      </c>
      <c r="P48" s="15">
        <f t="shared" si="3"/>
        <v>30</v>
      </c>
      <c r="Q48" s="17">
        <v>1</v>
      </c>
      <c r="R48" s="15">
        <f t="shared" si="4"/>
        <v>1</v>
      </c>
      <c r="S48" s="15">
        <f t="shared" si="5"/>
        <v>30</v>
      </c>
      <c r="T48" s="4">
        <f t="shared" si="6"/>
        <v>1.5</v>
      </c>
      <c r="U48" s="3">
        <f t="shared" si="7"/>
        <v>45</v>
      </c>
      <c r="V48" s="19"/>
    </row>
    <row r="49" spans="1:22" ht="27" customHeight="1" x14ac:dyDescent="0.3">
      <c r="A49" s="7"/>
      <c r="B49" s="62" t="s">
        <v>387</v>
      </c>
      <c r="C49" s="13" t="s">
        <v>17</v>
      </c>
      <c r="D49" s="65"/>
      <c r="E49" s="65"/>
      <c r="F49" s="65"/>
      <c r="G49" s="64">
        <v>5</v>
      </c>
      <c r="H49" s="15">
        <v>150</v>
      </c>
      <c r="I49" s="15">
        <v>45</v>
      </c>
      <c r="J49" s="3">
        <v>0.5</v>
      </c>
      <c r="K49" s="15">
        <f t="shared" si="0"/>
        <v>15</v>
      </c>
      <c r="L49" s="17">
        <v>1</v>
      </c>
      <c r="M49" s="15">
        <f t="shared" si="1"/>
        <v>0.5</v>
      </c>
      <c r="N49" s="15">
        <f t="shared" si="2"/>
        <v>15</v>
      </c>
      <c r="O49" s="3">
        <v>1</v>
      </c>
      <c r="P49" s="15">
        <f t="shared" si="3"/>
        <v>30</v>
      </c>
      <c r="Q49" s="17">
        <v>1</v>
      </c>
      <c r="R49" s="15">
        <f t="shared" si="4"/>
        <v>1</v>
      </c>
      <c r="S49" s="15">
        <f t="shared" si="5"/>
        <v>30</v>
      </c>
      <c r="T49" s="4">
        <f t="shared" si="6"/>
        <v>1.5</v>
      </c>
      <c r="U49" s="3">
        <f t="shared" si="7"/>
        <v>45</v>
      </c>
      <c r="V49" s="19"/>
    </row>
    <row r="50" spans="1:22" ht="27" customHeight="1" x14ac:dyDescent="0.3">
      <c r="A50" s="7"/>
      <c r="B50" s="63"/>
      <c r="C50" s="13" t="s">
        <v>18</v>
      </c>
      <c r="D50" s="66"/>
      <c r="E50" s="66"/>
      <c r="F50" s="66"/>
      <c r="G50" s="66"/>
      <c r="H50" s="15">
        <v>150</v>
      </c>
      <c r="I50" s="15">
        <v>45</v>
      </c>
      <c r="J50" s="3">
        <v>0.5</v>
      </c>
      <c r="K50" s="15">
        <f t="shared" si="0"/>
        <v>15</v>
      </c>
      <c r="L50" s="17">
        <v>1</v>
      </c>
      <c r="M50" s="15">
        <f t="shared" si="1"/>
        <v>0.5</v>
      </c>
      <c r="N50" s="15">
        <f t="shared" si="2"/>
        <v>15</v>
      </c>
      <c r="O50" s="3">
        <v>1</v>
      </c>
      <c r="P50" s="15">
        <f t="shared" si="3"/>
        <v>30</v>
      </c>
      <c r="Q50" s="17">
        <v>1</v>
      </c>
      <c r="R50" s="15">
        <f t="shared" si="4"/>
        <v>1</v>
      </c>
      <c r="S50" s="15">
        <f t="shared" si="5"/>
        <v>30</v>
      </c>
      <c r="T50" s="4">
        <f t="shared" si="6"/>
        <v>1.5</v>
      </c>
      <c r="U50" s="3">
        <f t="shared" si="7"/>
        <v>45</v>
      </c>
      <c r="V50" s="19"/>
    </row>
  </sheetData>
  <autoFilter ref="A4:V50" xr:uid="{00000000-0009-0000-0000-000006000000}"/>
  <mergeCells count="62">
    <mergeCell ref="B47:B48"/>
    <mergeCell ref="G47:G48"/>
    <mergeCell ref="D42:D50"/>
    <mergeCell ref="E42:E50"/>
    <mergeCell ref="B49:B50"/>
    <mergeCell ref="G49:G50"/>
    <mergeCell ref="F42:F50"/>
    <mergeCell ref="C42:C46"/>
    <mergeCell ref="F36:F41"/>
    <mergeCell ref="F29:F35"/>
    <mergeCell ref="D29:D35"/>
    <mergeCell ref="E29:E35"/>
    <mergeCell ref="C36:C41"/>
    <mergeCell ref="C29:C35"/>
    <mergeCell ref="D36:D41"/>
    <mergeCell ref="E36:E41"/>
    <mergeCell ref="B27:B28"/>
    <mergeCell ref="G27:G28"/>
    <mergeCell ref="F17:F28"/>
    <mergeCell ref="B25:B26"/>
    <mergeCell ref="G25:G26"/>
    <mergeCell ref="B23:B24"/>
    <mergeCell ref="G23:G24"/>
    <mergeCell ref="B21:B22"/>
    <mergeCell ref="G21:G22"/>
    <mergeCell ref="B19:B20"/>
    <mergeCell ref="G19:G20"/>
    <mergeCell ref="D17:D28"/>
    <mergeCell ref="E17:E28"/>
    <mergeCell ref="H2:H4"/>
    <mergeCell ref="U2:U4"/>
    <mergeCell ref="V2:V4"/>
    <mergeCell ref="O2:O4"/>
    <mergeCell ref="P2:P4"/>
    <mergeCell ref="Q2:Q4"/>
    <mergeCell ref="R2:R4"/>
    <mergeCell ref="S2:S4"/>
    <mergeCell ref="T2:T4"/>
    <mergeCell ref="I2:I4"/>
    <mergeCell ref="J2:J4"/>
    <mergeCell ref="K2:K4"/>
    <mergeCell ref="L2:L4"/>
    <mergeCell ref="M2:M4"/>
    <mergeCell ref="N2:N4"/>
    <mergeCell ref="F9:F16"/>
    <mergeCell ref="B17:B18"/>
    <mergeCell ref="G17:G18"/>
    <mergeCell ref="D9:D16"/>
    <mergeCell ref="E9:E16"/>
    <mergeCell ref="C9:C16"/>
    <mergeCell ref="G7:G8"/>
    <mergeCell ref="B7:B8"/>
    <mergeCell ref="B2:B4"/>
    <mergeCell ref="C2:C4"/>
    <mergeCell ref="D2:E3"/>
    <mergeCell ref="F2:F4"/>
    <mergeCell ref="F5:F8"/>
    <mergeCell ref="E5:E8"/>
    <mergeCell ref="D5:D8"/>
    <mergeCell ref="G2:G4"/>
    <mergeCell ref="G5:G6"/>
    <mergeCell ref="B5:B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170"/>
  <sheetViews>
    <sheetView zoomScale="40" zoomScaleNormal="40" workbookViewId="0">
      <pane xSplit="5" ySplit="4" topLeftCell="H66" activePane="bottomRight" state="frozen"/>
      <selection pane="topRight" activeCell="F1" sqref="F1"/>
      <selection pane="bottomLeft" activeCell="A5" sqref="A5"/>
      <selection pane="bottomRight" activeCell="V83" sqref="V83:V84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x14ac:dyDescent="0.3">
      <c r="B5" s="62" t="s">
        <v>385</v>
      </c>
      <c r="C5" s="13" t="s">
        <v>17</v>
      </c>
      <c r="D5" s="64">
        <v>150</v>
      </c>
      <c r="E5" s="64">
        <v>61</v>
      </c>
      <c r="F5" s="64" t="s">
        <v>572</v>
      </c>
      <c r="G5" s="64">
        <v>5</v>
      </c>
      <c r="H5" s="15">
        <v>150</v>
      </c>
      <c r="I5" s="15">
        <v>45</v>
      </c>
      <c r="J5" s="3">
        <v>0.5</v>
      </c>
      <c r="K5" s="15">
        <f>J5*30</f>
        <v>15</v>
      </c>
      <c r="L5" s="17">
        <v>2</v>
      </c>
      <c r="M5" s="15">
        <f>J5*L5</f>
        <v>1</v>
      </c>
      <c r="N5" s="15">
        <f>K5*L5</f>
        <v>30</v>
      </c>
      <c r="O5" s="3">
        <v>1</v>
      </c>
      <c r="P5" s="15">
        <f>O5*30</f>
        <v>30</v>
      </c>
      <c r="Q5" s="38">
        <v>6</v>
      </c>
      <c r="R5" s="15">
        <f>O5*Q5</f>
        <v>6</v>
      </c>
      <c r="S5" s="15">
        <f>P5*Q5</f>
        <v>180</v>
      </c>
      <c r="T5" s="4">
        <f>M5+R5</f>
        <v>7</v>
      </c>
      <c r="U5" s="3">
        <f>N5+S5</f>
        <v>210</v>
      </c>
      <c r="V5" s="19"/>
    </row>
    <row r="6" spans="1:22" x14ac:dyDescent="0.3">
      <c r="B6" s="63"/>
      <c r="C6" s="13" t="s">
        <v>18</v>
      </c>
      <c r="D6" s="65"/>
      <c r="E6" s="65"/>
      <c r="F6" s="65"/>
      <c r="G6" s="66"/>
      <c r="H6" s="15">
        <v>150</v>
      </c>
      <c r="I6" s="15">
        <v>45</v>
      </c>
      <c r="J6" s="3">
        <v>0.5</v>
      </c>
      <c r="K6" s="15">
        <f t="shared" ref="K6:K69" si="0">J6*30</f>
        <v>15</v>
      </c>
      <c r="L6" s="17">
        <v>1</v>
      </c>
      <c r="M6" s="15">
        <f t="shared" ref="M6:M69" si="1">J6*L6</f>
        <v>0.5</v>
      </c>
      <c r="N6" s="15">
        <f t="shared" ref="N6:N69" si="2">K6*L6</f>
        <v>15</v>
      </c>
      <c r="O6" s="3">
        <v>1</v>
      </c>
      <c r="P6" s="15">
        <f t="shared" ref="P6:P69" si="3">O6*30</f>
        <v>30</v>
      </c>
      <c r="Q6" s="38">
        <v>3</v>
      </c>
      <c r="R6" s="15">
        <f t="shared" ref="R6:R69" si="4">O6*Q6</f>
        <v>3</v>
      </c>
      <c r="S6" s="15">
        <f t="shared" ref="S6:S69" si="5">P6*Q6</f>
        <v>90</v>
      </c>
      <c r="T6" s="4">
        <f t="shared" ref="T6:T69" si="6">M6+R6</f>
        <v>3.5</v>
      </c>
      <c r="U6" s="3">
        <f t="shared" ref="U6:U69" si="7">N6+S6</f>
        <v>105</v>
      </c>
      <c r="V6" s="19"/>
    </row>
    <row r="7" spans="1:22" ht="28.95" customHeight="1" x14ac:dyDescent="0.3">
      <c r="B7" s="62" t="s">
        <v>387</v>
      </c>
      <c r="C7" s="13" t="s">
        <v>17</v>
      </c>
      <c r="D7" s="65"/>
      <c r="E7" s="65"/>
      <c r="F7" s="65"/>
      <c r="G7" s="64">
        <v>5</v>
      </c>
      <c r="H7" s="15">
        <v>150</v>
      </c>
      <c r="I7" s="15">
        <v>45</v>
      </c>
      <c r="J7" s="3">
        <v>0.5</v>
      </c>
      <c r="K7" s="15">
        <f t="shared" si="0"/>
        <v>15</v>
      </c>
      <c r="L7" s="17">
        <v>2</v>
      </c>
      <c r="M7" s="15">
        <f t="shared" si="1"/>
        <v>1</v>
      </c>
      <c r="N7" s="15">
        <f t="shared" si="2"/>
        <v>30</v>
      </c>
      <c r="O7" s="3">
        <v>1</v>
      </c>
      <c r="P7" s="15">
        <f t="shared" si="3"/>
        <v>30</v>
      </c>
      <c r="Q7" s="38">
        <v>6</v>
      </c>
      <c r="R7" s="15">
        <f t="shared" si="4"/>
        <v>6</v>
      </c>
      <c r="S7" s="15">
        <f t="shared" si="5"/>
        <v>180</v>
      </c>
      <c r="T7" s="4">
        <f t="shared" si="6"/>
        <v>7</v>
      </c>
      <c r="U7" s="3">
        <f t="shared" si="7"/>
        <v>210</v>
      </c>
      <c r="V7" s="19"/>
    </row>
    <row r="8" spans="1:22" ht="25.95" customHeight="1" x14ac:dyDescent="0.3">
      <c r="B8" s="63"/>
      <c r="C8" s="13" t="s">
        <v>18</v>
      </c>
      <c r="D8" s="66"/>
      <c r="E8" s="66"/>
      <c r="F8" s="66"/>
      <c r="G8" s="66"/>
      <c r="H8" s="15">
        <v>150</v>
      </c>
      <c r="I8" s="15">
        <v>45</v>
      </c>
      <c r="J8" s="3">
        <v>0.5</v>
      </c>
      <c r="K8" s="15">
        <f t="shared" si="0"/>
        <v>15</v>
      </c>
      <c r="L8" s="17">
        <v>1</v>
      </c>
      <c r="M8" s="15">
        <f t="shared" si="1"/>
        <v>0.5</v>
      </c>
      <c r="N8" s="15">
        <f t="shared" si="2"/>
        <v>15</v>
      </c>
      <c r="O8" s="3">
        <v>1</v>
      </c>
      <c r="P8" s="15">
        <f t="shared" si="3"/>
        <v>30</v>
      </c>
      <c r="Q8" s="38">
        <v>3</v>
      </c>
      <c r="R8" s="15">
        <f t="shared" si="4"/>
        <v>3</v>
      </c>
      <c r="S8" s="15">
        <f t="shared" si="5"/>
        <v>90</v>
      </c>
      <c r="T8" s="4">
        <f t="shared" si="6"/>
        <v>3.5</v>
      </c>
      <c r="U8" s="3">
        <f t="shared" si="7"/>
        <v>105</v>
      </c>
      <c r="V8" s="19"/>
    </row>
    <row r="9" spans="1:22" x14ac:dyDescent="0.3">
      <c r="B9" s="62" t="s">
        <v>385</v>
      </c>
      <c r="C9" s="13" t="s">
        <v>17</v>
      </c>
      <c r="D9" s="64">
        <v>228</v>
      </c>
      <c r="E9" s="64">
        <v>26</v>
      </c>
      <c r="F9" s="64" t="s">
        <v>571</v>
      </c>
      <c r="G9" s="64">
        <v>5</v>
      </c>
      <c r="H9" s="15">
        <v>150</v>
      </c>
      <c r="I9" s="15">
        <v>45</v>
      </c>
      <c r="J9" s="3">
        <v>0.5</v>
      </c>
      <c r="K9" s="15">
        <f t="shared" si="0"/>
        <v>15</v>
      </c>
      <c r="L9" s="17">
        <v>3</v>
      </c>
      <c r="M9" s="15">
        <f t="shared" si="1"/>
        <v>1.5</v>
      </c>
      <c r="N9" s="15">
        <f t="shared" si="2"/>
        <v>45</v>
      </c>
      <c r="O9" s="3">
        <v>1</v>
      </c>
      <c r="P9" s="15">
        <f t="shared" si="3"/>
        <v>30</v>
      </c>
      <c r="Q9" s="38">
        <v>8</v>
      </c>
      <c r="R9" s="15">
        <f t="shared" si="4"/>
        <v>8</v>
      </c>
      <c r="S9" s="15">
        <f t="shared" si="5"/>
        <v>240</v>
      </c>
      <c r="T9" s="4">
        <f t="shared" si="6"/>
        <v>9.5</v>
      </c>
      <c r="U9" s="3">
        <f t="shared" si="7"/>
        <v>285</v>
      </c>
      <c r="V9" s="19"/>
    </row>
    <row r="10" spans="1:22" x14ac:dyDescent="0.3">
      <c r="B10" s="63"/>
      <c r="C10" s="13" t="s">
        <v>18</v>
      </c>
      <c r="D10" s="65"/>
      <c r="E10" s="65"/>
      <c r="F10" s="65"/>
      <c r="G10" s="66"/>
      <c r="H10" s="15">
        <v>150</v>
      </c>
      <c r="I10" s="15">
        <v>45</v>
      </c>
      <c r="J10" s="3">
        <v>0.5</v>
      </c>
      <c r="K10" s="15">
        <f t="shared" si="0"/>
        <v>15</v>
      </c>
      <c r="L10" s="17">
        <v>1</v>
      </c>
      <c r="M10" s="15">
        <f t="shared" si="1"/>
        <v>0.5</v>
      </c>
      <c r="N10" s="15">
        <f t="shared" si="2"/>
        <v>15</v>
      </c>
      <c r="O10" s="3">
        <v>1</v>
      </c>
      <c r="P10" s="15">
        <f t="shared" si="3"/>
        <v>30</v>
      </c>
      <c r="Q10" s="38">
        <v>1</v>
      </c>
      <c r="R10" s="15">
        <f t="shared" si="4"/>
        <v>1</v>
      </c>
      <c r="S10" s="15">
        <f t="shared" si="5"/>
        <v>30</v>
      </c>
      <c r="T10" s="4">
        <f t="shared" si="6"/>
        <v>1.5</v>
      </c>
      <c r="U10" s="3">
        <f t="shared" si="7"/>
        <v>45</v>
      </c>
      <c r="V10" s="19"/>
    </row>
    <row r="11" spans="1:22" ht="27" customHeight="1" x14ac:dyDescent="0.3">
      <c r="B11" s="62" t="s">
        <v>387</v>
      </c>
      <c r="C11" s="13" t="s">
        <v>17</v>
      </c>
      <c r="D11" s="65"/>
      <c r="E11" s="65"/>
      <c r="F11" s="65"/>
      <c r="G11" s="64">
        <v>5</v>
      </c>
      <c r="H11" s="15">
        <v>150</v>
      </c>
      <c r="I11" s="15">
        <v>45</v>
      </c>
      <c r="J11" s="3">
        <v>0.5</v>
      </c>
      <c r="K11" s="15">
        <f t="shared" si="0"/>
        <v>15</v>
      </c>
      <c r="L11" s="17">
        <v>3</v>
      </c>
      <c r="M11" s="15">
        <f t="shared" si="1"/>
        <v>1.5</v>
      </c>
      <c r="N11" s="15">
        <f t="shared" si="2"/>
        <v>45</v>
      </c>
      <c r="O11" s="3">
        <v>1</v>
      </c>
      <c r="P11" s="15">
        <f t="shared" si="3"/>
        <v>30</v>
      </c>
      <c r="Q11" s="38">
        <v>8</v>
      </c>
      <c r="R11" s="15">
        <f t="shared" si="4"/>
        <v>8</v>
      </c>
      <c r="S11" s="15">
        <f t="shared" si="5"/>
        <v>240</v>
      </c>
      <c r="T11" s="4">
        <f t="shared" si="6"/>
        <v>9.5</v>
      </c>
      <c r="U11" s="3">
        <f t="shared" si="7"/>
        <v>285</v>
      </c>
      <c r="V11" s="19"/>
    </row>
    <row r="12" spans="1:22" ht="27.75" customHeight="1" x14ac:dyDescent="0.3">
      <c r="B12" s="63"/>
      <c r="C12" s="13" t="s">
        <v>18</v>
      </c>
      <c r="D12" s="66"/>
      <c r="E12" s="66"/>
      <c r="F12" s="66"/>
      <c r="G12" s="66"/>
      <c r="H12" s="15">
        <v>150</v>
      </c>
      <c r="I12" s="15">
        <v>45</v>
      </c>
      <c r="J12" s="3">
        <v>0.5</v>
      </c>
      <c r="K12" s="15">
        <f t="shared" si="0"/>
        <v>15</v>
      </c>
      <c r="L12" s="17">
        <v>1</v>
      </c>
      <c r="M12" s="15">
        <f t="shared" si="1"/>
        <v>0.5</v>
      </c>
      <c r="N12" s="15">
        <f t="shared" si="2"/>
        <v>15</v>
      </c>
      <c r="O12" s="3">
        <v>1</v>
      </c>
      <c r="P12" s="15">
        <f t="shared" si="3"/>
        <v>30</v>
      </c>
      <c r="Q12" s="38">
        <v>1</v>
      </c>
      <c r="R12" s="15">
        <f t="shared" si="4"/>
        <v>1</v>
      </c>
      <c r="S12" s="15">
        <f t="shared" si="5"/>
        <v>30</v>
      </c>
      <c r="T12" s="4">
        <f t="shared" si="6"/>
        <v>1.5</v>
      </c>
      <c r="U12" s="3">
        <f t="shared" si="7"/>
        <v>45</v>
      </c>
      <c r="V12" s="19"/>
    </row>
    <row r="13" spans="1:22" x14ac:dyDescent="0.35">
      <c r="A13" s="8"/>
      <c r="B13" s="62" t="s">
        <v>385</v>
      </c>
      <c r="C13" s="13" t="s">
        <v>17</v>
      </c>
      <c r="D13" s="64">
        <v>321</v>
      </c>
      <c r="E13" s="64">
        <v>89</v>
      </c>
      <c r="F13" s="64" t="s">
        <v>367</v>
      </c>
      <c r="G13" s="64">
        <v>5</v>
      </c>
      <c r="H13" s="15">
        <v>150</v>
      </c>
      <c r="I13" s="15">
        <v>45</v>
      </c>
      <c r="J13" s="3">
        <v>0.5</v>
      </c>
      <c r="K13" s="15">
        <f t="shared" si="0"/>
        <v>15</v>
      </c>
      <c r="L13" s="9">
        <v>4</v>
      </c>
      <c r="M13" s="15">
        <f t="shared" si="1"/>
        <v>2</v>
      </c>
      <c r="N13" s="15">
        <f t="shared" si="2"/>
        <v>60</v>
      </c>
      <c r="O13" s="3">
        <v>1</v>
      </c>
      <c r="P13" s="15">
        <f t="shared" si="3"/>
        <v>30</v>
      </c>
      <c r="Q13" s="39">
        <v>12</v>
      </c>
      <c r="R13" s="15">
        <f t="shared" si="4"/>
        <v>12</v>
      </c>
      <c r="S13" s="15">
        <f t="shared" si="5"/>
        <v>360</v>
      </c>
      <c r="T13" s="4">
        <f t="shared" si="6"/>
        <v>14</v>
      </c>
      <c r="U13" s="3">
        <f t="shared" si="7"/>
        <v>420</v>
      </c>
      <c r="V13" s="10"/>
    </row>
    <row r="14" spans="1:22" x14ac:dyDescent="0.35">
      <c r="A14" s="8"/>
      <c r="B14" s="63"/>
      <c r="C14" s="13" t="s">
        <v>18</v>
      </c>
      <c r="D14" s="65"/>
      <c r="E14" s="65"/>
      <c r="F14" s="65"/>
      <c r="G14" s="66"/>
      <c r="H14" s="15">
        <v>150</v>
      </c>
      <c r="I14" s="15">
        <v>45</v>
      </c>
      <c r="J14" s="3">
        <v>0.5</v>
      </c>
      <c r="K14" s="15">
        <f t="shared" si="0"/>
        <v>15</v>
      </c>
      <c r="L14" s="9">
        <v>1</v>
      </c>
      <c r="M14" s="15">
        <f t="shared" si="1"/>
        <v>0.5</v>
      </c>
      <c r="N14" s="15">
        <f t="shared" si="2"/>
        <v>15</v>
      </c>
      <c r="O14" s="3">
        <v>1</v>
      </c>
      <c r="P14" s="15">
        <f t="shared" si="3"/>
        <v>30</v>
      </c>
      <c r="Q14" s="39">
        <v>4</v>
      </c>
      <c r="R14" s="15">
        <f t="shared" si="4"/>
        <v>4</v>
      </c>
      <c r="S14" s="15">
        <f t="shared" si="5"/>
        <v>120</v>
      </c>
      <c r="T14" s="4">
        <f t="shared" si="6"/>
        <v>4.5</v>
      </c>
      <c r="U14" s="3">
        <f t="shared" si="7"/>
        <v>135</v>
      </c>
      <c r="V14" s="20"/>
    </row>
    <row r="15" spans="1:22" ht="25.95" customHeight="1" x14ac:dyDescent="0.35">
      <c r="A15" s="8"/>
      <c r="B15" s="62" t="s">
        <v>387</v>
      </c>
      <c r="C15" s="13" t="s">
        <v>17</v>
      </c>
      <c r="D15" s="65"/>
      <c r="E15" s="65"/>
      <c r="F15" s="65"/>
      <c r="G15" s="64">
        <v>5</v>
      </c>
      <c r="H15" s="15">
        <v>150</v>
      </c>
      <c r="I15" s="15">
        <v>45</v>
      </c>
      <c r="J15" s="3">
        <v>0.5</v>
      </c>
      <c r="K15" s="15">
        <f t="shared" si="0"/>
        <v>15</v>
      </c>
      <c r="L15" s="9">
        <v>4</v>
      </c>
      <c r="M15" s="15">
        <f t="shared" si="1"/>
        <v>2</v>
      </c>
      <c r="N15" s="15">
        <f t="shared" si="2"/>
        <v>60</v>
      </c>
      <c r="O15" s="3">
        <v>1</v>
      </c>
      <c r="P15" s="15">
        <f t="shared" si="3"/>
        <v>30</v>
      </c>
      <c r="Q15" s="39">
        <v>12</v>
      </c>
      <c r="R15" s="15">
        <f t="shared" si="4"/>
        <v>12</v>
      </c>
      <c r="S15" s="15">
        <f t="shared" si="5"/>
        <v>360</v>
      </c>
      <c r="T15" s="4">
        <f t="shared" si="6"/>
        <v>14</v>
      </c>
      <c r="U15" s="3">
        <f t="shared" si="7"/>
        <v>420</v>
      </c>
      <c r="V15" s="10"/>
    </row>
    <row r="16" spans="1:22" ht="25.2" customHeight="1" x14ac:dyDescent="0.35">
      <c r="A16" s="8"/>
      <c r="B16" s="63"/>
      <c r="C16" s="13" t="s">
        <v>18</v>
      </c>
      <c r="D16" s="66"/>
      <c r="E16" s="66"/>
      <c r="F16" s="66"/>
      <c r="G16" s="66"/>
      <c r="H16" s="15">
        <v>150</v>
      </c>
      <c r="I16" s="15">
        <v>45</v>
      </c>
      <c r="J16" s="3">
        <v>0.5</v>
      </c>
      <c r="K16" s="15">
        <f t="shared" si="0"/>
        <v>15</v>
      </c>
      <c r="L16" s="9">
        <v>1</v>
      </c>
      <c r="M16" s="15">
        <f t="shared" si="1"/>
        <v>0.5</v>
      </c>
      <c r="N16" s="15">
        <f t="shared" si="2"/>
        <v>15</v>
      </c>
      <c r="O16" s="3">
        <v>1</v>
      </c>
      <c r="P16" s="15">
        <f t="shared" si="3"/>
        <v>30</v>
      </c>
      <c r="Q16" s="39">
        <v>4</v>
      </c>
      <c r="R16" s="15">
        <f t="shared" si="4"/>
        <v>4</v>
      </c>
      <c r="S16" s="15">
        <f t="shared" si="5"/>
        <v>120</v>
      </c>
      <c r="T16" s="4">
        <f t="shared" si="6"/>
        <v>4.5</v>
      </c>
      <c r="U16" s="3">
        <f t="shared" si="7"/>
        <v>135</v>
      </c>
      <c r="V16" s="20"/>
    </row>
    <row r="17" spans="1:22" x14ac:dyDescent="0.35">
      <c r="A17" s="8"/>
      <c r="B17" s="62" t="s">
        <v>72</v>
      </c>
      <c r="C17" s="13" t="s">
        <v>17</v>
      </c>
      <c r="D17" s="64">
        <v>11</v>
      </c>
      <c r="E17" s="64">
        <v>10</v>
      </c>
      <c r="F17" s="64" t="s">
        <v>20</v>
      </c>
      <c r="G17" s="87">
        <v>5</v>
      </c>
      <c r="H17" s="15">
        <v>150</v>
      </c>
      <c r="I17" s="15">
        <v>45</v>
      </c>
      <c r="J17" s="3">
        <v>0.5</v>
      </c>
      <c r="K17" s="15">
        <f t="shared" si="0"/>
        <v>15</v>
      </c>
      <c r="L17" s="9">
        <v>1</v>
      </c>
      <c r="M17" s="15">
        <f t="shared" si="1"/>
        <v>0.5</v>
      </c>
      <c r="N17" s="15">
        <f t="shared" si="2"/>
        <v>15</v>
      </c>
      <c r="O17" s="3">
        <v>1</v>
      </c>
      <c r="P17" s="15">
        <f t="shared" si="3"/>
        <v>30</v>
      </c>
      <c r="Q17" s="9">
        <v>1</v>
      </c>
      <c r="R17" s="15">
        <f t="shared" si="4"/>
        <v>1</v>
      </c>
      <c r="S17" s="15">
        <f t="shared" si="5"/>
        <v>30</v>
      </c>
      <c r="T17" s="4">
        <f t="shared" si="6"/>
        <v>1.5</v>
      </c>
      <c r="U17" s="3">
        <f t="shared" si="7"/>
        <v>45</v>
      </c>
      <c r="V17" s="10"/>
    </row>
    <row r="18" spans="1:22" x14ac:dyDescent="0.35">
      <c r="A18" s="8"/>
      <c r="B18" s="63"/>
      <c r="C18" s="13" t="s">
        <v>18</v>
      </c>
      <c r="D18" s="65"/>
      <c r="E18" s="65"/>
      <c r="F18" s="65"/>
      <c r="G18" s="88"/>
      <c r="H18" s="15">
        <v>150</v>
      </c>
      <c r="I18" s="15">
        <v>45</v>
      </c>
      <c r="J18" s="3">
        <v>0.5</v>
      </c>
      <c r="K18" s="15">
        <f t="shared" si="0"/>
        <v>15</v>
      </c>
      <c r="L18" s="9">
        <v>1</v>
      </c>
      <c r="M18" s="15">
        <f t="shared" si="1"/>
        <v>0.5</v>
      </c>
      <c r="N18" s="15">
        <f t="shared" si="2"/>
        <v>15</v>
      </c>
      <c r="O18" s="3">
        <v>1</v>
      </c>
      <c r="P18" s="15">
        <f t="shared" si="3"/>
        <v>30</v>
      </c>
      <c r="Q18" s="9">
        <v>1</v>
      </c>
      <c r="R18" s="15">
        <f t="shared" si="4"/>
        <v>1</v>
      </c>
      <c r="S18" s="15">
        <f t="shared" si="5"/>
        <v>30</v>
      </c>
      <c r="T18" s="4">
        <f t="shared" si="6"/>
        <v>1.5</v>
      </c>
      <c r="U18" s="3">
        <f t="shared" si="7"/>
        <v>45</v>
      </c>
      <c r="V18" s="20"/>
    </row>
    <row r="19" spans="1:22" x14ac:dyDescent="0.3">
      <c r="A19" s="7"/>
      <c r="B19" s="62" t="s">
        <v>418</v>
      </c>
      <c r="C19" s="13" t="s">
        <v>17</v>
      </c>
      <c r="D19" s="65"/>
      <c r="E19" s="65"/>
      <c r="F19" s="65"/>
      <c r="G19" s="64">
        <v>5</v>
      </c>
      <c r="H19" s="15">
        <v>150</v>
      </c>
      <c r="I19" s="15">
        <v>45</v>
      </c>
      <c r="J19" s="3">
        <v>0.5</v>
      </c>
      <c r="K19" s="15">
        <f t="shared" si="0"/>
        <v>15</v>
      </c>
      <c r="L19" s="9">
        <v>1</v>
      </c>
      <c r="M19" s="15">
        <f t="shared" si="1"/>
        <v>0.5</v>
      </c>
      <c r="N19" s="15">
        <f t="shared" si="2"/>
        <v>15</v>
      </c>
      <c r="O19" s="3">
        <v>1</v>
      </c>
      <c r="P19" s="15">
        <f t="shared" si="3"/>
        <v>30</v>
      </c>
      <c r="Q19" s="9">
        <v>1</v>
      </c>
      <c r="R19" s="15">
        <f t="shared" si="4"/>
        <v>1</v>
      </c>
      <c r="S19" s="15">
        <f t="shared" si="5"/>
        <v>30</v>
      </c>
      <c r="T19" s="4">
        <f t="shared" si="6"/>
        <v>1.5</v>
      </c>
      <c r="U19" s="3">
        <f t="shared" si="7"/>
        <v>45</v>
      </c>
      <c r="V19" s="19"/>
    </row>
    <row r="20" spans="1:22" x14ac:dyDescent="0.3">
      <c r="A20" s="7"/>
      <c r="B20" s="63"/>
      <c r="C20" s="13" t="s">
        <v>18</v>
      </c>
      <c r="D20" s="65"/>
      <c r="E20" s="65"/>
      <c r="F20" s="65"/>
      <c r="G20" s="66"/>
      <c r="H20" s="15">
        <v>150</v>
      </c>
      <c r="I20" s="15">
        <v>45</v>
      </c>
      <c r="J20" s="3">
        <v>0.5</v>
      </c>
      <c r="K20" s="15">
        <f t="shared" si="0"/>
        <v>15</v>
      </c>
      <c r="L20" s="9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9">
        <v>1</v>
      </c>
      <c r="R20" s="15">
        <f t="shared" si="4"/>
        <v>1</v>
      </c>
      <c r="S20" s="15">
        <f t="shared" si="5"/>
        <v>30</v>
      </c>
      <c r="T20" s="4">
        <f t="shared" si="6"/>
        <v>1.5</v>
      </c>
      <c r="U20" s="3">
        <f t="shared" si="7"/>
        <v>45</v>
      </c>
      <c r="V20" s="19"/>
    </row>
    <row r="21" spans="1:22" x14ac:dyDescent="0.3">
      <c r="A21" s="7"/>
      <c r="B21" s="62" t="s">
        <v>419</v>
      </c>
      <c r="C21" s="13" t="s">
        <v>17</v>
      </c>
      <c r="D21" s="65"/>
      <c r="E21" s="65"/>
      <c r="F21" s="65"/>
      <c r="G21" s="64">
        <v>5</v>
      </c>
      <c r="H21" s="15">
        <v>150</v>
      </c>
      <c r="I21" s="15">
        <v>45</v>
      </c>
      <c r="J21" s="3">
        <v>0.5</v>
      </c>
      <c r="K21" s="15">
        <f t="shared" si="0"/>
        <v>15</v>
      </c>
      <c r="L21" s="9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9">
        <v>1</v>
      </c>
      <c r="R21" s="15">
        <f t="shared" si="4"/>
        <v>1</v>
      </c>
      <c r="S21" s="15">
        <f t="shared" si="5"/>
        <v>30</v>
      </c>
      <c r="T21" s="4">
        <f t="shared" si="6"/>
        <v>1.5</v>
      </c>
      <c r="U21" s="3">
        <f t="shared" si="7"/>
        <v>45</v>
      </c>
      <c r="V21" s="19"/>
    </row>
    <row r="22" spans="1:22" x14ac:dyDescent="0.3">
      <c r="A22" s="7"/>
      <c r="B22" s="63"/>
      <c r="C22" s="13" t="s">
        <v>18</v>
      </c>
      <c r="D22" s="65"/>
      <c r="E22" s="65"/>
      <c r="F22" s="65"/>
      <c r="G22" s="66"/>
      <c r="H22" s="15">
        <v>150</v>
      </c>
      <c r="I22" s="15">
        <v>45</v>
      </c>
      <c r="J22" s="3">
        <v>0.5</v>
      </c>
      <c r="K22" s="15">
        <f t="shared" si="0"/>
        <v>15</v>
      </c>
      <c r="L22" s="9">
        <v>1</v>
      </c>
      <c r="M22" s="15">
        <f t="shared" si="1"/>
        <v>0.5</v>
      </c>
      <c r="N22" s="15">
        <f t="shared" si="2"/>
        <v>15</v>
      </c>
      <c r="O22" s="3">
        <v>1</v>
      </c>
      <c r="P22" s="15">
        <f t="shared" si="3"/>
        <v>30</v>
      </c>
      <c r="Q22" s="9">
        <v>1</v>
      </c>
      <c r="R22" s="15">
        <f t="shared" si="4"/>
        <v>1</v>
      </c>
      <c r="S22" s="15">
        <f t="shared" si="5"/>
        <v>30</v>
      </c>
      <c r="T22" s="4">
        <f t="shared" si="6"/>
        <v>1.5</v>
      </c>
      <c r="U22" s="3">
        <f t="shared" si="7"/>
        <v>45</v>
      </c>
      <c r="V22" s="19"/>
    </row>
    <row r="23" spans="1:22" ht="28.2" customHeight="1" x14ac:dyDescent="0.3">
      <c r="A23" s="7"/>
      <c r="B23" s="62" t="s">
        <v>420</v>
      </c>
      <c r="C23" s="13" t="s">
        <v>17</v>
      </c>
      <c r="D23" s="65"/>
      <c r="E23" s="65"/>
      <c r="F23" s="65"/>
      <c r="G23" s="64">
        <v>5</v>
      </c>
      <c r="H23" s="15">
        <v>150</v>
      </c>
      <c r="I23" s="15">
        <v>45</v>
      </c>
      <c r="J23" s="3">
        <v>0.5</v>
      </c>
      <c r="K23" s="15">
        <f t="shared" si="0"/>
        <v>15</v>
      </c>
      <c r="L23" s="9">
        <v>1</v>
      </c>
      <c r="M23" s="15">
        <f t="shared" si="1"/>
        <v>0.5</v>
      </c>
      <c r="N23" s="15">
        <f t="shared" si="2"/>
        <v>15</v>
      </c>
      <c r="O23" s="3">
        <v>1</v>
      </c>
      <c r="P23" s="15">
        <f t="shared" si="3"/>
        <v>30</v>
      </c>
      <c r="Q23" s="9">
        <v>1</v>
      </c>
      <c r="R23" s="15">
        <f t="shared" si="4"/>
        <v>1</v>
      </c>
      <c r="S23" s="15">
        <f t="shared" si="5"/>
        <v>30</v>
      </c>
      <c r="T23" s="4">
        <f t="shared" si="6"/>
        <v>1.5</v>
      </c>
      <c r="U23" s="3">
        <f t="shared" si="7"/>
        <v>45</v>
      </c>
      <c r="V23" s="19"/>
    </row>
    <row r="24" spans="1:22" ht="25.95" customHeight="1" x14ac:dyDescent="0.3">
      <c r="A24" s="7"/>
      <c r="B24" s="63"/>
      <c r="C24" s="13" t="s">
        <v>18</v>
      </c>
      <c r="D24" s="65"/>
      <c r="E24" s="65"/>
      <c r="F24" s="65"/>
      <c r="G24" s="66"/>
      <c r="H24" s="15">
        <v>150</v>
      </c>
      <c r="I24" s="15">
        <v>45</v>
      </c>
      <c r="J24" s="3">
        <v>0.5</v>
      </c>
      <c r="K24" s="15">
        <f t="shared" si="0"/>
        <v>15</v>
      </c>
      <c r="L24" s="9">
        <v>1</v>
      </c>
      <c r="M24" s="15">
        <f t="shared" si="1"/>
        <v>0.5</v>
      </c>
      <c r="N24" s="15">
        <f t="shared" si="2"/>
        <v>15</v>
      </c>
      <c r="O24" s="3">
        <v>1</v>
      </c>
      <c r="P24" s="15">
        <f t="shared" si="3"/>
        <v>30</v>
      </c>
      <c r="Q24" s="9">
        <v>1</v>
      </c>
      <c r="R24" s="15">
        <f t="shared" si="4"/>
        <v>1</v>
      </c>
      <c r="S24" s="15">
        <f t="shared" si="5"/>
        <v>30</v>
      </c>
      <c r="T24" s="4">
        <f t="shared" si="6"/>
        <v>1.5</v>
      </c>
      <c r="U24" s="3">
        <f t="shared" si="7"/>
        <v>45</v>
      </c>
      <c r="V24" s="19"/>
    </row>
    <row r="25" spans="1:22" ht="27" customHeight="1" x14ac:dyDescent="0.3">
      <c r="A25" s="7"/>
      <c r="B25" s="62" t="s">
        <v>421</v>
      </c>
      <c r="C25" s="13" t="s">
        <v>17</v>
      </c>
      <c r="D25" s="65"/>
      <c r="E25" s="65"/>
      <c r="F25" s="65"/>
      <c r="G25" s="64">
        <v>5</v>
      </c>
      <c r="H25" s="15">
        <v>150</v>
      </c>
      <c r="I25" s="15">
        <v>45</v>
      </c>
      <c r="J25" s="3">
        <v>0.5</v>
      </c>
      <c r="K25" s="15">
        <f t="shared" si="0"/>
        <v>15</v>
      </c>
      <c r="L25" s="9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9">
        <v>1</v>
      </c>
      <c r="R25" s="15">
        <f t="shared" si="4"/>
        <v>1</v>
      </c>
      <c r="S25" s="15">
        <f t="shared" si="5"/>
        <v>30</v>
      </c>
      <c r="T25" s="4">
        <f t="shared" si="6"/>
        <v>1.5</v>
      </c>
      <c r="U25" s="3">
        <f t="shared" si="7"/>
        <v>45</v>
      </c>
      <c r="V25" s="19"/>
    </row>
    <row r="26" spans="1:22" ht="27" customHeight="1" x14ac:dyDescent="0.3">
      <c r="A26" s="7"/>
      <c r="B26" s="63"/>
      <c r="C26" s="13" t="s">
        <v>18</v>
      </c>
      <c r="D26" s="65"/>
      <c r="E26" s="65"/>
      <c r="F26" s="65"/>
      <c r="G26" s="66"/>
      <c r="H26" s="15">
        <v>150</v>
      </c>
      <c r="I26" s="15">
        <v>45</v>
      </c>
      <c r="J26" s="3">
        <v>0.5</v>
      </c>
      <c r="K26" s="15">
        <f t="shared" si="0"/>
        <v>15</v>
      </c>
      <c r="L26" s="9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9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9"/>
    </row>
    <row r="27" spans="1:22" ht="34.950000000000003" customHeight="1" x14ac:dyDescent="0.3">
      <c r="A27" s="7"/>
      <c r="B27" s="62" t="s">
        <v>422</v>
      </c>
      <c r="C27" s="13" t="s">
        <v>17</v>
      </c>
      <c r="D27" s="65"/>
      <c r="E27" s="65"/>
      <c r="F27" s="65"/>
      <c r="G27" s="64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9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9">
        <v>1</v>
      </c>
      <c r="R27" s="15">
        <f t="shared" si="4"/>
        <v>1</v>
      </c>
      <c r="S27" s="15">
        <f t="shared" si="5"/>
        <v>30</v>
      </c>
      <c r="T27" s="4">
        <f t="shared" si="6"/>
        <v>1.5</v>
      </c>
      <c r="U27" s="3">
        <f t="shared" si="7"/>
        <v>45</v>
      </c>
      <c r="V27" s="19"/>
    </row>
    <row r="28" spans="1:22" ht="43.5" customHeight="1" x14ac:dyDescent="0.3">
      <c r="A28" s="7"/>
      <c r="B28" s="63"/>
      <c r="C28" s="13" t="s">
        <v>18</v>
      </c>
      <c r="D28" s="66"/>
      <c r="E28" s="66"/>
      <c r="F28" s="66"/>
      <c r="G28" s="66"/>
      <c r="H28" s="15">
        <v>150</v>
      </c>
      <c r="I28" s="15">
        <v>45</v>
      </c>
      <c r="J28" s="3">
        <v>0.5</v>
      </c>
      <c r="K28" s="15">
        <f t="shared" si="0"/>
        <v>15</v>
      </c>
      <c r="L28" s="9">
        <v>1</v>
      </c>
      <c r="M28" s="15">
        <f t="shared" si="1"/>
        <v>0.5</v>
      </c>
      <c r="N28" s="15">
        <f t="shared" si="2"/>
        <v>15</v>
      </c>
      <c r="O28" s="3">
        <v>1</v>
      </c>
      <c r="P28" s="15">
        <f t="shared" si="3"/>
        <v>30</v>
      </c>
      <c r="Q28" s="9">
        <v>1</v>
      </c>
      <c r="R28" s="15">
        <f t="shared" si="4"/>
        <v>1</v>
      </c>
      <c r="S28" s="15">
        <f t="shared" si="5"/>
        <v>30</v>
      </c>
      <c r="T28" s="4">
        <f t="shared" si="6"/>
        <v>1.5</v>
      </c>
      <c r="U28" s="3">
        <f t="shared" si="7"/>
        <v>45</v>
      </c>
      <c r="V28" s="19"/>
    </row>
    <row r="29" spans="1:22" ht="57.6" customHeight="1" x14ac:dyDescent="0.3">
      <c r="A29" s="7"/>
      <c r="B29" s="14" t="s">
        <v>381</v>
      </c>
      <c r="C29" s="64" t="s">
        <v>206</v>
      </c>
      <c r="D29" s="64">
        <v>12</v>
      </c>
      <c r="E29" s="64">
        <v>1</v>
      </c>
      <c r="F29" s="64" t="s">
        <v>156</v>
      </c>
      <c r="G29" s="12">
        <v>4</v>
      </c>
      <c r="H29" s="15">
        <v>120</v>
      </c>
      <c r="I29" s="15">
        <v>45</v>
      </c>
      <c r="J29" s="3">
        <v>0.5</v>
      </c>
      <c r="K29" s="15">
        <f t="shared" si="0"/>
        <v>15</v>
      </c>
      <c r="L29" s="9">
        <v>1</v>
      </c>
      <c r="M29" s="15">
        <f t="shared" si="1"/>
        <v>0.5</v>
      </c>
      <c r="N29" s="15">
        <f t="shared" si="2"/>
        <v>15</v>
      </c>
      <c r="O29" s="3">
        <v>1</v>
      </c>
      <c r="P29" s="15">
        <f t="shared" si="3"/>
        <v>30</v>
      </c>
      <c r="Q29" s="9">
        <v>1</v>
      </c>
      <c r="R29" s="15">
        <f t="shared" si="4"/>
        <v>1</v>
      </c>
      <c r="S29" s="15">
        <f t="shared" si="5"/>
        <v>30</v>
      </c>
      <c r="T29" s="4">
        <f t="shared" si="6"/>
        <v>1.5</v>
      </c>
      <c r="U29" s="3">
        <f t="shared" si="7"/>
        <v>45</v>
      </c>
      <c r="V29" s="19"/>
    </row>
    <row r="30" spans="1:22" ht="36" x14ac:dyDescent="0.3">
      <c r="A30" s="7"/>
      <c r="B30" s="14" t="s">
        <v>382</v>
      </c>
      <c r="C30" s="65"/>
      <c r="D30" s="65"/>
      <c r="E30" s="65"/>
      <c r="F30" s="65"/>
      <c r="G30" s="12">
        <v>3</v>
      </c>
      <c r="H30" s="15">
        <v>90</v>
      </c>
      <c r="I30" s="15">
        <v>30</v>
      </c>
      <c r="J30" s="3">
        <v>0.5</v>
      </c>
      <c r="K30" s="15">
        <f t="shared" si="0"/>
        <v>15</v>
      </c>
      <c r="L30" s="9">
        <v>1</v>
      </c>
      <c r="M30" s="15">
        <f t="shared" si="1"/>
        <v>0.5</v>
      </c>
      <c r="N30" s="15">
        <f t="shared" si="2"/>
        <v>15</v>
      </c>
      <c r="O30" s="3">
        <v>0.5</v>
      </c>
      <c r="P30" s="15">
        <f t="shared" si="3"/>
        <v>15</v>
      </c>
      <c r="Q30" s="9">
        <v>1</v>
      </c>
      <c r="R30" s="15">
        <f t="shared" si="4"/>
        <v>0.5</v>
      </c>
      <c r="S30" s="15">
        <f t="shared" si="5"/>
        <v>15</v>
      </c>
      <c r="T30" s="4">
        <f t="shared" si="6"/>
        <v>1</v>
      </c>
      <c r="U30" s="3">
        <f t="shared" si="7"/>
        <v>30</v>
      </c>
      <c r="V30" s="19"/>
    </row>
    <row r="31" spans="1:22" ht="36" x14ac:dyDescent="0.3">
      <c r="A31" s="7"/>
      <c r="B31" s="14" t="s">
        <v>158</v>
      </c>
      <c r="C31" s="65"/>
      <c r="D31" s="65"/>
      <c r="E31" s="65"/>
      <c r="F31" s="65"/>
      <c r="G31" s="12">
        <v>4</v>
      </c>
      <c r="H31" s="15">
        <v>120</v>
      </c>
      <c r="I31" s="15">
        <v>45</v>
      </c>
      <c r="J31" s="3">
        <v>0.5</v>
      </c>
      <c r="K31" s="15">
        <f t="shared" si="0"/>
        <v>15</v>
      </c>
      <c r="L31" s="9">
        <v>1</v>
      </c>
      <c r="M31" s="15">
        <f t="shared" si="1"/>
        <v>0.5</v>
      </c>
      <c r="N31" s="15">
        <f t="shared" si="2"/>
        <v>15</v>
      </c>
      <c r="O31" s="3">
        <v>1</v>
      </c>
      <c r="P31" s="15">
        <f t="shared" si="3"/>
        <v>30</v>
      </c>
      <c r="Q31" s="9">
        <v>1</v>
      </c>
      <c r="R31" s="15">
        <f t="shared" si="4"/>
        <v>1</v>
      </c>
      <c r="S31" s="15">
        <f t="shared" si="5"/>
        <v>30</v>
      </c>
      <c r="T31" s="4">
        <f t="shared" si="6"/>
        <v>1.5</v>
      </c>
      <c r="U31" s="3">
        <f t="shared" si="7"/>
        <v>45</v>
      </c>
      <c r="V31" s="19"/>
    </row>
    <row r="32" spans="1:22" ht="54" x14ac:dyDescent="0.3">
      <c r="B32" s="14" t="s">
        <v>383</v>
      </c>
      <c r="C32" s="65"/>
      <c r="D32" s="65"/>
      <c r="E32" s="65"/>
      <c r="F32" s="65"/>
      <c r="G32" s="12">
        <v>4</v>
      </c>
      <c r="H32" s="15">
        <v>120</v>
      </c>
      <c r="I32" s="15">
        <v>45</v>
      </c>
      <c r="J32" s="3">
        <v>0.5</v>
      </c>
      <c r="K32" s="15">
        <f t="shared" si="0"/>
        <v>15</v>
      </c>
      <c r="L32" s="9">
        <v>1</v>
      </c>
      <c r="M32" s="15">
        <f t="shared" si="1"/>
        <v>0.5</v>
      </c>
      <c r="N32" s="15">
        <f t="shared" si="2"/>
        <v>15</v>
      </c>
      <c r="O32" s="3">
        <v>1</v>
      </c>
      <c r="P32" s="15">
        <f t="shared" si="3"/>
        <v>30</v>
      </c>
      <c r="Q32" s="9">
        <v>1</v>
      </c>
      <c r="R32" s="15">
        <f t="shared" si="4"/>
        <v>1</v>
      </c>
      <c r="S32" s="15">
        <f t="shared" si="5"/>
        <v>30</v>
      </c>
      <c r="T32" s="4">
        <f t="shared" si="6"/>
        <v>1.5</v>
      </c>
      <c r="U32" s="3">
        <f t="shared" si="7"/>
        <v>45</v>
      </c>
      <c r="V32" s="19"/>
    </row>
    <row r="33" spans="1:22" ht="54" x14ac:dyDescent="0.3">
      <c r="B33" s="14" t="s">
        <v>384</v>
      </c>
      <c r="C33" s="65"/>
      <c r="D33" s="65"/>
      <c r="E33" s="65"/>
      <c r="F33" s="65"/>
      <c r="G33" s="12">
        <v>4</v>
      </c>
      <c r="H33" s="15">
        <v>120</v>
      </c>
      <c r="I33" s="15">
        <v>45</v>
      </c>
      <c r="J33" s="3">
        <v>0.5</v>
      </c>
      <c r="K33" s="15">
        <f t="shared" si="0"/>
        <v>15</v>
      </c>
      <c r="L33" s="9">
        <v>1</v>
      </c>
      <c r="M33" s="15">
        <f t="shared" si="1"/>
        <v>0.5</v>
      </c>
      <c r="N33" s="15">
        <f t="shared" si="2"/>
        <v>15</v>
      </c>
      <c r="O33" s="3">
        <v>1</v>
      </c>
      <c r="P33" s="15">
        <f t="shared" si="3"/>
        <v>30</v>
      </c>
      <c r="Q33" s="9">
        <v>1</v>
      </c>
      <c r="R33" s="15">
        <f t="shared" si="4"/>
        <v>1</v>
      </c>
      <c r="S33" s="15">
        <f t="shared" si="5"/>
        <v>30</v>
      </c>
      <c r="T33" s="4">
        <f t="shared" si="6"/>
        <v>1.5</v>
      </c>
      <c r="U33" s="3">
        <f t="shared" si="7"/>
        <v>45</v>
      </c>
      <c r="V33" s="19"/>
    </row>
    <row r="34" spans="1:22" x14ac:dyDescent="0.3">
      <c r="B34" s="14" t="s">
        <v>386</v>
      </c>
      <c r="C34" s="65"/>
      <c r="D34" s="65"/>
      <c r="E34" s="65"/>
      <c r="F34" s="65"/>
      <c r="G34" s="12">
        <v>3</v>
      </c>
      <c r="H34" s="15">
        <v>90</v>
      </c>
      <c r="I34" s="15">
        <v>30</v>
      </c>
      <c r="J34" s="3">
        <v>0.5</v>
      </c>
      <c r="K34" s="15">
        <f t="shared" si="0"/>
        <v>15</v>
      </c>
      <c r="L34" s="9">
        <v>1</v>
      </c>
      <c r="M34" s="15">
        <f t="shared" si="1"/>
        <v>0.5</v>
      </c>
      <c r="N34" s="15">
        <f t="shared" si="2"/>
        <v>15</v>
      </c>
      <c r="O34" s="3">
        <v>0.5</v>
      </c>
      <c r="P34" s="15">
        <f t="shared" si="3"/>
        <v>15</v>
      </c>
      <c r="Q34" s="9">
        <v>1</v>
      </c>
      <c r="R34" s="15">
        <f t="shared" si="4"/>
        <v>0.5</v>
      </c>
      <c r="S34" s="15">
        <f t="shared" si="5"/>
        <v>15</v>
      </c>
      <c r="T34" s="4">
        <f t="shared" si="6"/>
        <v>1</v>
      </c>
      <c r="U34" s="3">
        <f t="shared" si="7"/>
        <v>30</v>
      </c>
      <c r="V34" s="19"/>
    </row>
    <row r="35" spans="1:22" ht="36" x14ac:dyDescent="0.3">
      <c r="B35" s="14" t="s">
        <v>388</v>
      </c>
      <c r="C35" s="65"/>
      <c r="D35" s="65"/>
      <c r="E35" s="65"/>
      <c r="F35" s="65"/>
      <c r="G35" s="12">
        <v>3</v>
      </c>
      <c r="H35" s="15">
        <v>90</v>
      </c>
      <c r="I35" s="15">
        <v>30</v>
      </c>
      <c r="J35" s="3">
        <v>0.5</v>
      </c>
      <c r="K35" s="15">
        <f t="shared" si="0"/>
        <v>15</v>
      </c>
      <c r="L35" s="9">
        <v>1</v>
      </c>
      <c r="M35" s="15">
        <f t="shared" si="1"/>
        <v>0.5</v>
      </c>
      <c r="N35" s="15">
        <f t="shared" si="2"/>
        <v>15</v>
      </c>
      <c r="O35" s="3">
        <v>0.5</v>
      </c>
      <c r="P35" s="15">
        <f t="shared" si="3"/>
        <v>15</v>
      </c>
      <c r="Q35" s="9">
        <v>1</v>
      </c>
      <c r="R35" s="15">
        <f t="shared" si="4"/>
        <v>0.5</v>
      </c>
      <c r="S35" s="15">
        <f t="shared" si="5"/>
        <v>15</v>
      </c>
      <c r="T35" s="4">
        <f t="shared" si="6"/>
        <v>1</v>
      </c>
      <c r="U35" s="3">
        <f t="shared" si="7"/>
        <v>30</v>
      </c>
      <c r="V35" s="19"/>
    </row>
    <row r="36" spans="1:22" ht="72" x14ac:dyDescent="0.35">
      <c r="A36" s="8"/>
      <c r="B36" s="14" t="s">
        <v>423</v>
      </c>
      <c r="C36" s="66"/>
      <c r="D36" s="65"/>
      <c r="E36" s="65"/>
      <c r="F36" s="65"/>
      <c r="G36" s="16">
        <v>5</v>
      </c>
      <c r="H36" s="15">
        <v>150</v>
      </c>
      <c r="I36" s="15">
        <v>45</v>
      </c>
      <c r="J36" s="3">
        <v>0.5</v>
      </c>
      <c r="K36" s="15">
        <f t="shared" si="0"/>
        <v>15</v>
      </c>
      <c r="L36" s="9">
        <v>1</v>
      </c>
      <c r="M36" s="15">
        <f t="shared" si="1"/>
        <v>0.5</v>
      </c>
      <c r="N36" s="15">
        <f t="shared" si="2"/>
        <v>15</v>
      </c>
      <c r="O36" s="3">
        <v>1</v>
      </c>
      <c r="P36" s="15">
        <f t="shared" si="3"/>
        <v>30</v>
      </c>
      <c r="Q36" s="9">
        <v>1</v>
      </c>
      <c r="R36" s="15">
        <f t="shared" si="4"/>
        <v>1</v>
      </c>
      <c r="S36" s="15">
        <f t="shared" si="5"/>
        <v>30</v>
      </c>
      <c r="T36" s="4">
        <f t="shared" si="6"/>
        <v>1.5</v>
      </c>
      <c r="U36" s="3">
        <f t="shared" si="7"/>
        <v>45</v>
      </c>
      <c r="V36" s="10"/>
    </row>
    <row r="37" spans="1:22" x14ac:dyDescent="0.35">
      <c r="A37" s="8"/>
      <c r="B37" s="62" t="s">
        <v>390</v>
      </c>
      <c r="C37" s="13" t="s">
        <v>17</v>
      </c>
      <c r="D37" s="64">
        <v>38</v>
      </c>
      <c r="E37" s="64">
        <v>9</v>
      </c>
      <c r="F37" s="64" t="s">
        <v>425</v>
      </c>
      <c r="G37" s="87">
        <v>5</v>
      </c>
      <c r="H37" s="15">
        <v>150</v>
      </c>
      <c r="I37" s="15">
        <v>45</v>
      </c>
      <c r="J37" s="3">
        <v>0.5</v>
      </c>
      <c r="K37" s="15">
        <f t="shared" si="0"/>
        <v>15</v>
      </c>
      <c r="L37" s="9">
        <v>1</v>
      </c>
      <c r="M37" s="15">
        <f t="shared" si="1"/>
        <v>0.5</v>
      </c>
      <c r="N37" s="15">
        <f t="shared" si="2"/>
        <v>15</v>
      </c>
      <c r="O37" s="3">
        <v>1</v>
      </c>
      <c r="P37" s="15">
        <f t="shared" si="3"/>
        <v>30</v>
      </c>
      <c r="Q37" s="9">
        <v>2</v>
      </c>
      <c r="R37" s="15">
        <f t="shared" si="4"/>
        <v>2</v>
      </c>
      <c r="S37" s="15">
        <f t="shared" si="5"/>
        <v>60</v>
      </c>
      <c r="T37" s="4">
        <f t="shared" si="6"/>
        <v>2.5</v>
      </c>
      <c r="U37" s="3">
        <f t="shared" si="7"/>
        <v>75</v>
      </c>
      <c r="V37" s="10"/>
    </row>
    <row r="38" spans="1:22" x14ac:dyDescent="0.35">
      <c r="A38" s="8"/>
      <c r="B38" s="63"/>
      <c r="C38" s="13" t="s">
        <v>18</v>
      </c>
      <c r="D38" s="65"/>
      <c r="E38" s="65"/>
      <c r="F38" s="65"/>
      <c r="G38" s="88"/>
      <c r="H38" s="15">
        <v>150</v>
      </c>
      <c r="I38" s="15">
        <v>45</v>
      </c>
      <c r="J38" s="3">
        <v>0.5</v>
      </c>
      <c r="K38" s="15">
        <f t="shared" si="0"/>
        <v>15</v>
      </c>
      <c r="L38" s="9">
        <v>1</v>
      </c>
      <c r="M38" s="15">
        <f t="shared" si="1"/>
        <v>0.5</v>
      </c>
      <c r="N38" s="15">
        <f t="shared" si="2"/>
        <v>15</v>
      </c>
      <c r="O38" s="3">
        <v>1</v>
      </c>
      <c r="P38" s="15">
        <f t="shared" si="3"/>
        <v>30</v>
      </c>
      <c r="Q38" s="9">
        <v>1</v>
      </c>
      <c r="R38" s="15">
        <f t="shared" si="4"/>
        <v>1</v>
      </c>
      <c r="S38" s="15">
        <f t="shared" si="5"/>
        <v>30</v>
      </c>
      <c r="T38" s="4">
        <f t="shared" si="6"/>
        <v>1.5</v>
      </c>
      <c r="U38" s="3">
        <f t="shared" si="7"/>
        <v>45</v>
      </c>
      <c r="V38" s="20"/>
    </row>
    <row r="39" spans="1:22" x14ac:dyDescent="0.3">
      <c r="A39" s="7"/>
      <c r="B39" s="62" t="s">
        <v>391</v>
      </c>
      <c r="C39" s="13" t="s">
        <v>17</v>
      </c>
      <c r="D39" s="65"/>
      <c r="E39" s="65"/>
      <c r="F39" s="65"/>
      <c r="G39" s="64">
        <v>5</v>
      </c>
      <c r="H39" s="15">
        <v>150</v>
      </c>
      <c r="I39" s="15">
        <v>45</v>
      </c>
      <c r="J39" s="3">
        <v>0.5</v>
      </c>
      <c r="K39" s="15">
        <f t="shared" si="0"/>
        <v>15</v>
      </c>
      <c r="L39" s="9">
        <v>1</v>
      </c>
      <c r="M39" s="15">
        <f t="shared" si="1"/>
        <v>0.5</v>
      </c>
      <c r="N39" s="15">
        <f t="shared" si="2"/>
        <v>15</v>
      </c>
      <c r="O39" s="3">
        <v>1</v>
      </c>
      <c r="P39" s="15">
        <f t="shared" si="3"/>
        <v>30</v>
      </c>
      <c r="Q39" s="9">
        <v>2</v>
      </c>
      <c r="R39" s="15">
        <f t="shared" si="4"/>
        <v>2</v>
      </c>
      <c r="S39" s="15">
        <f t="shared" si="5"/>
        <v>60</v>
      </c>
      <c r="T39" s="4">
        <f t="shared" si="6"/>
        <v>2.5</v>
      </c>
      <c r="U39" s="3">
        <f t="shared" si="7"/>
        <v>75</v>
      </c>
      <c r="V39" s="19"/>
    </row>
    <row r="40" spans="1:22" x14ac:dyDescent="0.3">
      <c r="A40" s="7"/>
      <c r="B40" s="63"/>
      <c r="C40" s="13" t="s">
        <v>18</v>
      </c>
      <c r="D40" s="65"/>
      <c r="E40" s="65"/>
      <c r="F40" s="65"/>
      <c r="G40" s="66"/>
      <c r="H40" s="15">
        <v>150</v>
      </c>
      <c r="I40" s="15">
        <v>45</v>
      </c>
      <c r="J40" s="3">
        <v>0.5</v>
      </c>
      <c r="K40" s="15">
        <f t="shared" si="0"/>
        <v>15</v>
      </c>
      <c r="L40" s="9">
        <v>1</v>
      </c>
      <c r="M40" s="15">
        <f t="shared" si="1"/>
        <v>0.5</v>
      </c>
      <c r="N40" s="15">
        <f t="shared" si="2"/>
        <v>15</v>
      </c>
      <c r="O40" s="3">
        <v>1</v>
      </c>
      <c r="P40" s="15">
        <f t="shared" si="3"/>
        <v>30</v>
      </c>
      <c r="Q40" s="9">
        <v>1</v>
      </c>
      <c r="R40" s="15">
        <f t="shared" si="4"/>
        <v>1</v>
      </c>
      <c r="S40" s="15">
        <f t="shared" si="5"/>
        <v>30</v>
      </c>
      <c r="T40" s="4">
        <f t="shared" si="6"/>
        <v>1.5</v>
      </c>
      <c r="U40" s="3">
        <f t="shared" si="7"/>
        <v>45</v>
      </c>
      <c r="V40" s="19"/>
    </row>
    <row r="41" spans="1:22" x14ac:dyDescent="0.3">
      <c r="A41" s="7"/>
      <c r="B41" s="62" t="s">
        <v>393</v>
      </c>
      <c r="C41" s="13" t="s">
        <v>17</v>
      </c>
      <c r="D41" s="65"/>
      <c r="E41" s="65"/>
      <c r="F41" s="65"/>
      <c r="G41" s="64">
        <v>6</v>
      </c>
      <c r="H41" s="15">
        <v>180</v>
      </c>
      <c r="I41" s="15">
        <v>60</v>
      </c>
      <c r="J41" s="3">
        <v>1</v>
      </c>
      <c r="K41" s="15">
        <f t="shared" si="0"/>
        <v>30</v>
      </c>
      <c r="L41" s="9">
        <v>1</v>
      </c>
      <c r="M41" s="15">
        <f t="shared" si="1"/>
        <v>1</v>
      </c>
      <c r="N41" s="15">
        <f t="shared" si="2"/>
        <v>30</v>
      </c>
      <c r="O41" s="3">
        <v>1</v>
      </c>
      <c r="P41" s="15">
        <f t="shared" si="3"/>
        <v>30</v>
      </c>
      <c r="Q41" s="9">
        <v>2</v>
      </c>
      <c r="R41" s="15">
        <f t="shared" si="4"/>
        <v>2</v>
      </c>
      <c r="S41" s="15">
        <f t="shared" si="5"/>
        <v>60</v>
      </c>
      <c r="T41" s="4">
        <f t="shared" si="6"/>
        <v>3</v>
      </c>
      <c r="U41" s="3">
        <f t="shared" si="7"/>
        <v>90</v>
      </c>
      <c r="V41" s="19"/>
    </row>
    <row r="42" spans="1:22" x14ac:dyDescent="0.3">
      <c r="A42" s="7"/>
      <c r="B42" s="63"/>
      <c r="C42" s="13" t="s">
        <v>18</v>
      </c>
      <c r="D42" s="65"/>
      <c r="E42" s="65"/>
      <c r="F42" s="65"/>
      <c r="G42" s="66"/>
      <c r="H42" s="15">
        <v>180</v>
      </c>
      <c r="I42" s="15">
        <v>60</v>
      </c>
      <c r="J42" s="3">
        <v>1</v>
      </c>
      <c r="K42" s="15">
        <f t="shared" si="0"/>
        <v>30</v>
      </c>
      <c r="L42" s="9">
        <v>1</v>
      </c>
      <c r="M42" s="15">
        <f t="shared" si="1"/>
        <v>1</v>
      </c>
      <c r="N42" s="15">
        <f t="shared" si="2"/>
        <v>30</v>
      </c>
      <c r="O42" s="3">
        <v>1</v>
      </c>
      <c r="P42" s="15">
        <f t="shared" si="3"/>
        <v>30</v>
      </c>
      <c r="Q42" s="9">
        <v>1</v>
      </c>
      <c r="R42" s="15">
        <f t="shared" si="4"/>
        <v>1</v>
      </c>
      <c r="S42" s="15">
        <f t="shared" si="5"/>
        <v>30</v>
      </c>
      <c r="T42" s="4">
        <f t="shared" si="6"/>
        <v>2</v>
      </c>
      <c r="U42" s="3">
        <f t="shared" si="7"/>
        <v>60</v>
      </c>
      <c r="V42" s="19"/>
    </row>
    <row r="43" spans="1:22" x14ac:dyDescent="0.3">
      <c r="A43" s="7"/>
      <c r="B43" s="62" t="s">
        <v>392</v>
      </c>
      <c r="C43" s="13" t="s">
        <v>17</v>
      </c>
      <c r="D43" s="65"/>
      <c r="E43" s="65"/>
      <c r="F43" s="65"/>
      <c r="G43" s="64">
        <v>4</v>
      </c>
      <c r="H43" s="15">
        <v>120</v>
      </c>
      <c r="I43" s="15">
        <v>45</v>
      </c>
      <c r="J43" s="3">
        <v>0.5</v>
      </c>
      <c r="K43" s="15">
        <f t="shared" si="0"/>
        <v>15</v>
      </c>
      <c r="L43" s="9">
        <v>1</v>
      </c>
      <c r="M43" s="15">
        <f t="shared" si="1"/>
        <v>0.5</v>
      </c>
      <c r="N43" s="15">
        <f t="shared" si="2"/>
        <v>15</v>
      </c>
      <c r="O43" s="3">
        <v>1</v>
      </c>
      <c r="P43" s="15">
        <f t="shared" si="3"/>
        <v>30</v>
      </c>
      <c r="Q43" s="9">
        <v>2</v>
      </c>
      <c r="R43" s="15">
        <f t="shared" si="4"/>
        <v>2</v>
      </c>
      <c r="S43" s="15">
        <f t="shared" si="5"/>
        <v>60</v>
      </c>
      <c r="T43" s="4">
        <f t="shared" si="6"/>
        <v>2.5</v>
      </c>
      <c r="U43" s="3">
        <f t="shared" si="7"/>
        <v>75</v>
      </c>
      <c r="V43" s="19"/>
    </row>
    <row r="44" spans="1:22" x14ac:dyDescent="0.3">
      <c r="A44" s="7"/>
      <c r="B44" s="63"/>
      <c r="C44" s="13" t="s">
        <v>18</v>
      </c>
      <c r="D44" s="65"/>
      <c r="E44" s="65"/>
      <c r="F44" s="65"/>
      <c r="G44" s="66"/>
      <c r="H44" s="15">
        <v>120</v>
      </c>
      <c r="I44" s="15">
        <v>45</v>
      </c>
      <c r="J44" s="3">
        <v>0.5</v>
      </c>
      <c r="K44" s="15">
        <f t="shared" si="0"/>
        <v>15</v>
      </c>
      <c r="L44" s="9">
        <v>1</v>
      </c>
      <c r="M44" s="15">
        <f t="shared" si="1"/>
        <v>0.5</v>
      </c>
      <c r="N44" s="15">
        <f t="shared" si="2"/>
        <v>15</v>
      </c>
      <c r="O44" s="3">
        <v>1</v>
      </c>
      <c r="P44" s="15">
        <f t="shared" si="3"/>
        <v>30</v>
      </c>
      <c r="Q44" s="9">
        <v>1</v>
      </c>
      <c r="R44" s="15">
        <f t="shared" si="4"/>
        <v>1</v>
      </c>
      <c r="S44" s="15">
        <f t="shared" si="5"/>
        <v>30</v>
      </c>
      <c r="T44" s="4">
        <f t="shared" si="6"/>
        <v>1.5</v>
      </c>
      <c r="U44" s="3">
        <f t="shared" si="7"/>
        <v>45</v>
      </c>
      <c r="V44" s="19"/>
    </row>
    <row r="45" spans="1:22" ht="27" customHeight="1" x14ac:dyDescent="0.3">
      <c r="A45" s="7"/>
      <c r="B45" s="62" t="s">
        <v>424</v>
      </c>
      <c r="C45" s="13" t="s">
        <v>17</v>
      </c>
      <c r="D45" s="65"/>
      <c r="E45" s="65"/>
      <c r="F45" s="65"/>
      <c r="G45" s="64">
        <v>5</v>
      </c>
      <c r="H45" s="15">
        <v>150</v>
      </c>
      <c r="I45" s="15">
        <v>45</v>
      </c>
      <c r="J45" s="3">
        <v>0.5</v>
      </c>
      <c r="K45" s="15">
        <f t="shared" si="0"/>
        <v>15</v>
      </c>
      <c r="L45" s="9">
        <v>1</v>
      </c>
      <c r="M45" s="15">
        <f t="shared" si="1"/>
        <v>0.5</v>
      </c>
      <c r="N45" s="15">
        <f t="shared" si="2"/>
        <v>15</v>
      </c>
      <c r="O45" s="3">
        <v>1</v>
      </c>
      <c r="P45" s="15">
        <f t="shared" si="3"/>
        <v>30</v>
      </c>
      <c r="Q45" s="9">
        <v>2</v>
      </c>
      <c r="R45" s="15">
        <f t="shared" si="4"/>
        <v>2</v>
      </c>
      <c r="S45" s="15">
        <f t="shared" si="5"/>
        <v>60</v>
      </c>
      <c r="T45" s="4">
        <f t="shared" si="6"/>
        <v>2.5</v>
      </c>
      <c r="U45" s="3">
        <f t="shared" si="7"/>
        <v>75</v>
      </c>
      <c r="V45" s="19"/>
    </row>
    <row r="46" spans="1:22" ht="24" customHeight="1" x14ac:dyDescent="0.3">
      <c r="A46" s="7"/>
      <c r="B46" s="63"/>
      <c r="C46" s="13" t="s">
        <v>18</v>
      </c>
      <c r="D46" s="65"/>
      <c r="E46" s="65"/>
      <c r="F46" s="65"/>
      <c r="G46" s="66"/>
      <c r="H46" s="15">
        <v>150</v>
      </c>
      <c r="I46" s="15">
        <v>45</v>
      </c>
      <c r="J46" s="3">
        <v>0.5</v>
      </c>
      <c r="K46" s="15">
        <f t="shared" si="0"/>
        <v>15</v>
      </c>
      <c r="L46" s="9">
        <v>1</v>
      </c>
      <c r="M46" s="15">
        <f t="shared" si="1"/>
        <v>0.5</v>
      </c>
      <c r="N46" s="15">
        <f t="shared" si="2"/>
        <v>15</v>
      </c>
      <c r="O46" s="3">
        <v>1</v>
      </c>
      <c r="P46" s="15">
        <f t="shared" si="3"/>
        <v>30</v>
      </c>
      <c r="Q46" s="9">
        <v>1</v>
      </c>
      <c r="R46" s="15">
        <f t="shared" si="4"/>
        <v>1</v>
      </c>
      <c r="S46" s="15">
        <f t="shared" si="5"/>
        <v>30</v>
      </c>
      <c r="T46" s="4">
        <f t="shared" si="6"/>
        <v>1.5</v>
      </c>
      <c r="U46" s="3">
        <f t="shared" si="7"/>
        <v>45</v>
      </c>
      <c r="V46" s="19"/>
    </row>
    <row r="47" spans="1:22" ht="34.200000000000003" customHeight="1" x14ac:dyDescent="0.3">
      <c r="A47" s="7"/>
      <c r="B47" s="62" t="s">
        <v>394</v>
      </c>
      <c r="C47" s="13" t="s">
        <v>17</v>
      </c>
      <c r="D47" s="65"/>
      <c r="E47" s="65"/>
      <c r="F47" s="65"/>
      <c r="G47" s="64">
        <v>5</v>
      </c>
      <c r="H47" s="15">
        <v>150</v>
      </c>
      <c r="I47" s="15">
        <v>45</v>
      </c>
      <c r="J47" s="3">
        <v>0.5</v>
      </c>
      <c r="K47" s="15">
        <f t="shared" si="0"/>
        <v>15</v>
      </c>
      <c r="L47" s="9">
        <v>1</v>
      </c>
      <c r="M47" s="15">
        <f t="shared" si="1"/>
        <v>0.5</v>
      </c>
      <c r="N47" s="15">
        <f t="shared" si="2"/>
        <v>15</v>
      </c>
      <c r="O47" s="3">
        <v>1</v>
      </c>
      <c r="P47" s="15">
        <f t="shared" si="3"/>
        <v>30</v>
      </c>
      <c r="Q47" s="9">
        <v>2</v>
      </c>
      <c r="R47" s="15">
        <f t="shared" si="4"/>
        <v>2</v>
      </c>
      <c r="S47" s="15">
        <f t="shared" si="5"/>
        <v>60</v>
      </c>
      <c r="T47" s="4">
        <f t="shared" si="6"/>
        <v>2.5</v>
      </c>
      <c r="U47" s="3">
        <f t="shared" si="7"/>
        <v>75</v>
      </c>
      <c r="V47" s="19"/>
    </row>
    <row r="48" spans="1:22" ht="36" customHeight="1" x14ac:dyDescent="0.3">
      <c r="A48" s="7"/>
      <c r="B48" s="63"/>
      <c r="C48" s="13" t="s">
        <v>18</v>
      </c>
      <c r="D48" s="66"/>
      <c r="E48" s="66"/>
      <c r="F48" s="66"/>
      <c r="G48" s="66"/>
      <c r="H48" s="15">
        <v>150</v>
      </c>
      <c r="I48" s="15">
        <v>45</v>
      </c>
      <c r="J48" s="3">
        <v>0.5</v>
      </c>
      <c r="K48" s="15">
        <f t="shared" si="0"/>
        <v>15</v>
      </c>
      <c r="L48" s="9">
        <v>1</v>
      </c>
      <c r="M48" s="15">
        <f t="shared" si="1"/>
        <v>0.5</v>
      </c>
      <c r="N48" s="15">
        <f t="shared" si="2"/>
        <v>15</v>
      </c>
      <c r="O48" s="3">
        <v>1</v>
      </c>
      <c r="P48" s="15">
        <f t="shared" si="3"/>
        <v>30</v>
      </c>
      <c r="Q48" s="9">
        <v>1</v>
      </c>
      <c r="R48" s="15">
        <f t="shared" si="4"/>
        <v>1</v>
      </c>
      <c r="S48" s="15">
        <f t="shared" si="5"/>
        <v>30</v>
      </c>
      <c r="T48" s="4">
        <f t="shared" si="6"/>
        <v>1.5</v>
      </c>
      <c r="U48" s="3">
        <f t="shared" si="7"/>
        <v>45</v>
      </c>
      <c r="V48" s="19"/>
    </row>
    <row r="49" spans="1:22" ht="36" x14ac:dyDescent="0.3">
      <c r="A49" s="7"/>
      <c r="B49" s="14" t="s">
        <v>426</v>
      </c>
      <c r="C49" s="64" t="s">
        <v>17</v>
      </c>
      <c r="D49" s="64">
        <v>6</v>
      </c>
      <c r="E49" s="64"/>
      <c r="F49" s="64" t="s">
        <v>21</v>
      </c>
      <c r="G49" s="12">
        <v>4</v>
      </c>
      <c r="H49" s="15">
        <v>120</v>
      </c>
      <c r="I49" s="15">
        <v>45</v>
      </c>
      <c r="J49" s="3">
        <v>0</v>
      </c>
      <c r="K49" s="15">
        <f t="shared" si="0"/>
        <v>0</v>
      </c>
      <c r="L49" s="17">
        <v>0</v>
      </c>
      <c r="M49" s="15">
        <f t="shared" si="1"/>
        <v>0</v>
      </c>
      <c r="N49" s="15">
        <f t="shared" si="2"/>
        <v>0</v>
      </c>
      <c r="O49" s="3">
        <v>1.5</v>
      </c>
      <c r="P49" s="15">
        <f t="shared" si="3"/>
        <v>45</v>
      </c>
      <c r="Q49" s="17">
        <v>5</v>
      </c>
      <c r="R49" s="15">
        <f t="shared" si="4"/>
        <v>7.5</v>
      </c>
      <c r="S49" s="15">
        <f t="shared" si="5"/>
        <v>225</v>
      </c>
      <c r="T49" s="4">
        <f t="shared" si="6"/>
        <v>7.5</v>
      </c>
      <c r="U49" s="3">
        <f t="shared" si="7"/>
        <v>225</v>
      </c>
      <c r="V49" s="19"/>
    </row>
    <row r="50" spans="1:22" ht="36" x14ac:dyDescent="0.3">
      <c r="A50" s="7"/>
      <c r="B50" s="14" t="s">
        <v>427</v>
      </c>
      <c r="C50" s="65"/>
      <c r="D50" s="65"/>
      <c r="E50" s="65"/>
      <c r="F50" s="65"/>
      <c r="G50" s="12">
        <v>4</v>
      </c>
      <c r="H50" s="15">
        <v>120</v>
      </c>
      <c r="I50" s="15">
        <v>45</v>
      </c>
      <c r="J50" s="3">
        <v>0</v>
      </c>
      <c r="K50" s="15">
        <f t="shared" si="0"/>
        <v>0</v>
      </c>
      <c r="L50" s="17">
        <v>0</v>
      </c>
      <c r="M50" s="15">
        <f t="shared" si="1"/>
        <v>0</v>
      </c>
      <c r="N50" s="15">
        <f t="shared" si="2"/>
        <v>0</v>
      </c>
      <c r="O50" s="3">
        <v>1.5</v>
      </c>
      <c r="P50" s="15">
        <f t="shared" si="3"/>
        <v>45</v>
      </c>
      <c r="Q50" s="17">
        <v>1.5</v>
      </c>
      <c r="R50" s="15">
        <f t="shared" si="4"/>
        <v>2.25</v>
      </c>
      <c r="S50" s="15">
        <f t="shared" si="5"/>
        <v>67.5</v>
      </c>
      <c r="T50" s="4">
        <f t="shared" si="6"/>
        <v>2.25</v>
      </c>
      <c r="U50" s="3">
        <f t="shared" si="7"/>
        <v>67.5</v>
      </c>
      <c r="V50" s="33" t="s">
        <v>534</v>
      </c>
    </row>
    <row r="51" spans="1:22" ht="60" customHeight="1" x14ac:dyDescent="0.3">
      <c r="A51" s="7"/>
      <c r="B51" s="14" t="s">
        <v>428</v>
      </c>
      <c r="C51" s="65"/>
      <c r="D51" s="65"/>
      <c r="E51" s="65"/>
      <c r="F51" s="65"/>
      <c r="G51" s="12">
        <v>3</v>
      </c>
      <c r="H51" s="15">
        <v>90</v>
      </c>
      <c r="I51" s="15">
        <v>30</v>
      </c>
      <c r="J51" s="3">
        <v>0</v>
      </c>
      <c r="K51" s="15">
        <f t="shared" si="0"/>
        <v>0</v>
      </c>
      <c r="L51" s="17">
        <v>0</v>
      </c>
      <c r="M51" s="15">
        <f t="shared" si="1"/>
        <v>0</v>
      </c>
      <c r="N51" s="15">
        <f t="shared" si="2"/>
        <v>0</v>
      </c>
      <c r="O51" s="3">
        <v>1</v>
      </c>
      <c r="P51" s="15">
        <f t="shared" si="3"/>
        <v>30</v>
      </c>
      <c r="Q51" s="17">
        <v>1</v>
      </c>
      <c r="R51" s="15">
        <f t="shared" si="4"/>
        <v>1</v>
      </c>
      <c r="S51" s="15">
        <f t="shared" si="5"/>
        <v>30</v>
      </c>
      <c r="T51" s="4">
        <f t="shared" si="6"/>
        <v>1</v>
      </c>
      <c r="U51" s="3">
        <f t="shared" si="7"/>
        <v>30</v>
      </c>
      <c r="V51" s="19"/>
    </row>
    <row r="52" spans="1:22" ht="36" x14ac:dyDescent="0.3">
      <c r="B52" s="14" t="s">
        <v>429</v>
      </c>
      <c r="C52" s="65"/>
      <c r="D52" s="65"/>
      <c r="E52" s="65"/>
      <c r="F52" s="65"/>
      <c r="G52" s="12">
        <v>4</v>
      </c>
      <c r="H52" s="15">
        <v>120</v>
      </c>
      <c r="I52" s="15">
        <v>45</v>
      </c>
      <c r="J52" s="3">
        <v>0</v>
      </c>
      <c r="K52" s="15">
        <f t="shared" si="0"/>
        <v>0</v>
      </c>
      <c r="L52" s="17">
        <v>0</v>
      </c>
      <c r="M52" s="15">
        <f t="shared" si="1"/>
        <v>0</v>
      </c>
      <c r="N52" s="15">
        <f t="shared" si="2"/>
        <v>0</v>
      </c>
      <c r="O52" s="3">
        <v>1.5</v>
      </c>
      <c r="P52" s="15">
        <f t="shared" si="3"/>
        <v>45</v>
      </c>
      <c r="Q52" s="17">
        <v>1.5</v>
      </c>
      <c r="R52" s="15">
        <f t="shared" si="4"/>
        <v>2.25</v>
      </c>
      <c r="S52" s="15">
        <f t="shared" si="5"/>
        <v>67.5</v>
      </c>
      <c r="T52" s="4">
        <f t="shared" si="6"/>
        <v>2.25</v>
      </c>
      <c r="U52" s="3">
        <f t="shared" si="7"/>
        <v>67.5</v>
      </c>
      <c r="V52" s="33" t="s">
        <v>534</v>
      </c>
    </row>
    <row r="53" spans="1:22" ht="58.95" customHeight="1" x14ac:dyDescent="0.3">
      <c r="B53" s="14" t="s">
        <v>430</v>
      </c>
      <c r="C53" s="65"/>
      <c r="D53" s="65"/>
      <c r="E53" s="65"/>
      <c r="F53" s="65"/>
      <c r="G53" s="12">
        <v>4</v>
      </c>
      <c r="H53" s="15">
        <v>120</v>
      </c>
      <c r="I53" s="15">
        <v>45</v>
      </c>
      <c r="J53" s="3">
        <v>0</v>
      </c>
      <c r="K53" s="15">
        <f t="shared" si="0"/>
        <v>0</v>
      </c>
      <c r="L53" s="17">
        <v>0</v>
      </c>
      <c r="M53" s="15">
        <f t="shared" si="1"/>
        <v>0</v>
      </c>
      <c r="N53" s="15">
        <f t="shared" si="2"/>
        <v>0</v>
      </c>
      <c r="O53" s="3">
        <v>1.5</v>
      </c>
      <c r="P53" s="15">
        <f t="shared" si="3"/>
        <v>45</v>
      </c>
      <c r="Q53" s="17">
        <v>3</v>
      </c>
      <c r="R53" s="15">
        <f t="shared" si="4"/>
        <v>4.5</v>
      </c>
      <c r="S53" s="15">
        <f t="shared" si="5"/>
        <v>135</v>
      </c>
      <c r="T53" s="4">
        <f t="shared" si="6"/>
        <v>4.5</v>
      </c>
      <c r="U53" s="3">
        <f t="shared" si="7"/>
        <v>135</v>
      </c>
      <c r="V53" s="33" t="s">
        <v>535</v>
      </c>
    </row>
    <row r="54" spans="1:22" ht="54" x14ac:dyDescent="0.3">
      <c r="B54" s="14" t="s">
        <v>431</v>
      </c>
      <c r="C54" s="65"/>
      <c r="D54" s="65"/>
      <c r="E54" s="65"/>
      <c r="F54" s="65"/>
      <c r="G54" s="12">
        <v>3</v>
      </c>
      <c r="H54" s="15">
        <v>90</v>
      </c>
      <c r="I54" s="15">
        <v>30</v>
      </c>
      <c r="J54" s="3">
        <v>0.5</v>
      </c>
      <c r="K54" s="15">
        <f t="shared" si="0"/>
        <v>15</v>
      </c>
      <c r="L54" s="17">
        <v>1</v>
      </c>
      <c r="M54" s="15">
        <f t="shared" si="1"/>
        <v>0.5</v>
      </c>
      <c r="N54" s="15">
        <f t="shared" si="2"/>
        <v>15</v>
      </c>
      <c r="O54" s="3">
        <v>0.5</v>
      </c>
      <c r="P54" s="15">
        <f t="shared" si="3"/>
        <v>15</v>
      </c>
      <c r="Q54" s="17">
        <v>1</v>
      </c>
      <c r="R54" s="15">
        <f t="shared" si="4"/>
        <v>0.5</v>
      </c>
      <c r="S54" s="15">
        <f t="shared" si="5"/>
        <v>15</v>
      </c>
      <c r="T54" s="4">
        <f t="shared" si="6"/>
        <v>1</v>
      </c>
      <c r="U54" s="3">
        <f t="shared" si="7"/>
        <v>30</v>
      </c>
      <c r="V54" s="19"/>
    </row>
    <row r="55" spans="1:22" ht="90" x14ac:dyDescent="0.3">
      <c r="B55" s="14" t="s">
        <v>432</v>
      </c>
      <c r="C55" s="65"/>
      <c r="D55" s="65"/>
      <c r="E55" s="65"/>
      <c r="F55" s="65"/>
      <c r="G55" s="12">
        <v>3</v>
      </c>
      <c r="H55" s="15">
        <v>90</v>
      </c>
      <c r="I55" s="15">
        <v>30</v>
      </c>
      <c r="J55" s="3">
        <v>0.5</v>
      </c>
      <c r="K55" s="15">
        <f t="shared" si="0"/>
        <v>15</v>
      </c>
      <c r="L55" s="17">
        <v>1</v>
      </c>
      <c r="M55" s="15">
        <f t="shared" si="1"/>
        <v>0.5</v>
      </c>
      <c r="N55" s="15">
        <f t="shared" si="2"/>
        <v>15</v>
      </c>
      <c r="O55" s="3">
        <v>0.5</v>
      </c>
      <c r="P55" s="15">
        <f t="shared" si="3"/>
        <v>15</v>
      </c>
      <c r="Q55" s="17">
        <v>1</v>
      </c>
      <c r="R55" s="15">
        <f t="shared" si="4"/>
        <v>0.5</v>
      </c>
      <c r="S55" s="15">
        <f t="shared" si="5"/>
        <v>15</v>
      </c>
      <c r="T55" s="4">
        <f t="shared" si="6"/>
        <v>1</v>
      </c>
      <c r="U55" s="3">
        <f t="shared" si="7"/>
        <v>30</v>
      </c>
      <c r="V55" s="19"/>
    </row>
    <row r="56" spans="1:22" ht="54" x14ac:dyDescent="0.35">
      <c r="A56" s="8"/>
      <c r="B56" s="14" t="s">
        <v>433</v>
      </c>
      <c r="C56" s="66"/>
      <c r="D56" s="65"/>
      <c r="E56" s="65"/>
      <c r="F56" s="65"/>
      <c r="G56" s="16">
        <v>5</v>
      </c>
      <c r="H56" s="15">
        <v>150</v>
      </c>
      <c r="I56" s="15">
        <v>45</v>
      </c>
      <c r="J56" s="3">
        <v>0.5</v>
      </c>
      <c r="K56" s="15">
        <f t="shared" si="0"/>
        <v>15</v>
      </c>
      <c r="L56" s="9">
        <v>1</v>
      </c>
      <c r="M56" s="15">
        <f t="shared" si="1"/>
        <v>0.5</v>
      </c>
      <c r="N56" s="15">
        <f t="shared" si="2"/>
        <v>15</v>
      </c>
      <c r="O56" s="3">
        <v>1</v>
      </c>
      <c r="P56" s="15">
        <f t="shared" si="3"/>
        <v>30</v>
      </c>
      <c r="Q56" s="9">
        <v>1</v>
      </c>
      <c r="R56" s="15">
        <f t="shared" si="4"/>
        <v>1</v>
      </c>
      <c r="S56" s="15">
        <f t="shared" si="5"/>
        <v>30</v>
      </c>
      <c r="T56" s="4">
        <f t="shared" si="6"/>
        <v>1.5</v>
      </c>
      <c r="U56" s="3">
        <f t="shared" si="7"/>
        <v>45</v>
      </c>
      <c r="V56" s="10"/>
    </row>
    <row r="57" spans="1:22" x14ac:dyDescent="0.35">
      <c r="A57" s="8"/>
      <c r="B57" s="14" t="s">
        <v>434</v>
      </c>
      <c r="C57" s="64" t="s">
        <v>17</v>
      </c>
      <c r="D57" s="64">
        <v>4</v>
      </c>
      <c r="E57" s="64"/>
      <c r="F57" s="64" t="s">
        <v>273</v>
      </c>
      <c r="G57" s="16">
        <v>6</v>
      </c>
      <c r="H57" s="15">
        <v>180</v>
      </c>
      <c r="I57" s="15">
        <v>60</v>
      </c>
      <c r="J57" s="3">
        <v>0</v>
      </c>
      <c r="K57" s="15">
        <f t="shared" si="0"/>
        <v>0</v>
      </c>
      <c r="L57" s="17">
        <v>0</v>
      </c>
      <c r="M57" s="15">
        <f t="shared" si="1"/>
        <v>0</v>
      </c>
      <c r="N57" s="15">
        <f t="shared" si="2"/>
        <v>0</v>
      </c>
      <c r="O57" s="3">
        <v>2</v>
      </c>
      <c r="P57" s="15">
        <f t="shared" si="3"/>
        <v>60</v>
      </c>
      <c r="Q57" s="9">
        <v>1</v>
      </c>
      <c r="R57" s="15">
        <f t="shared" si="4"/>
        <v>2</v>
      </c>
      <c r="S57" s="15">
        <f t="shared" si="5"/>
        <v>60</v>
      </c>
      <c r="T57" s="4">
        <f t="shared" si="6"/>
        <v>2</v>
      </c>
      <c r="U57" s="3">
        <f t="shared" si="7"/>
        <v>60</v>
      </c>
      <c r="V57" s="10"/>
    </row>
    <row r="58" spans="1:22" x14ac:dyDescent="0.3">
      <c r="A58" s="7"/>
      <c r="B58" s="14" t="s">
        <v>435</v>
      </c>
      <c r="C58" s="65"/>
      <c r="D58" s="65"/>
      <c r="E58" s="65"/>
      <c r="F58" s="65"/>
      <c r="G58" s="12">
        <v>6</v>
      </c>
      <c r="H58" s="15">
        <v>180</v>
      </c>
      <c r="I58" s="15">
        <v>60</v>
      </c>
      <c r="J58" s="3">
        <v>0</v>
      </c>
      <c r="K58" s="15">
        <f t="shared" si="0"/>
        <v>0</v>
      </c>
      <c r="L58" s="17">
        <v>0</v>
      </c>
      <c r="M58" s="15">
        <f t="shared" si="1"/>
        <v>0</v>
      </c>
      <c r="N58" s="15">
        <f t="shared" si="2"/>
        <v>0</v>
      </c>
      <c r="O58" s="3">
        <v>2</v>
      </c>
      <c r="P58" s="15">
        <f t="shared" si="3"/>
        <v>60</v>
      </c>
      <c r="Q58" s="17">
        <v>1</v>
      </c>
      <c r="R58" s="15">
        <f t="shared" si="4"/>
        <v>2</v>
      </c>
      <c r="S58" s="15">
        <f t="shared" si="5"/>
        <v>60</v>
      </c>
      <c r="T58" s="4">
        <f t="shared" si="6"/>
        <v>2</v>
      </c>
      <c r="U58" s="3">
        <f t="shared" si="7"/>
        <v>60</v>
      </c>
      <c r="V58" s="19"/>
    </row>
    <row r="59" spans="1:22" ht="37.200000000000003" customHeight="1" x14ac:dyDescent="0.3">
      <c r="A59" s="7"/>
      <c r="B59" s="14" t="s">
        <v>436</v>
      </c>
      <c r="C59" s="65"/>
      <c r="D59" s="65"/>
      <c r="E59" s="65"/>
      <c r="F59" s="65"/>
      <c r="G59" s="12">
        <v>6</v>
      </c>
      <c r="H59" s="15">
        <v>180</v>
      </c>
      <c r="I59" s="15">
        <v>60</v>
      </c>
      <c r="J59" s="3">
        <v>0</v>
      </c>
      <c r="K59" s="15">
        <f t="shared" si="0"/>
        <v>0</v>
      </c>
      <c r="L59" s="17">
        <v>0</v>
      </c>
      <c r="M59" s="15">
        <f t="shared" si="1"/>
        <v>0</v>
      </c>
      <c r="N59" s="15">
        <f t="shared" si="2"/>
        <v>0</v>
      </c>
      <c r="O59" s="3">
        <v>2</v>
      </c>
      <c r="P59" s="15">
        <f t="shared" si="3"/>
        <v>60</v>
      </c>
      <c r="Q59" s="17">
        <v>1</v>
      </c>
      <c r="R59" s="15">
        <f t="shared" si="4"/>
        <v>2</v>
      </c>
      <c r="S59" s="15">
        <f t="shared" si="5"/>
        <v>60</v>
      </c>
      <c r="T59" s="4">
        <f t="shared" si="6"/>
        <v>2</v>
      </c>
      <c r="U59" s="3">
        <f t="shared" si="7"/>
        <v>60</v>
      </c>
      <c r="V59" s="19"/>
    </row>
    <row r="60" spans="1:22" ht="38.549999999999997" customHeight="1" x14ac:dyDescent="0.3">
      <c r="A60" s="7"/>
      <c r="B60" s="14" t="s">
        <v>437</v>
      </c>
      <c r="C60" s="65"/>
      <c r="D60" s="65"/>
      <c r="E60" s="65"/>
      <c r="F60" s="65"/>
      <c r="G60" s="12">
        <v>6</v>
      </c>
      <c r="H60" s="15">
        <v>180</v>
      </c>
      <c r="I60" s="15">
        <v>60</v>
      </c>
      <c r="J60" s="3">
        <v>0</v>
      </c>
      <c r="K60" s="15">
        <f t="shared" si="0"/>
        <v>0</v>
      </c>
      <c r="L60" s="17">
        <v>0</v>
      </c>
      <c r="M60" s="15">
        <f t="shared" si="1"/>
        <v>0</v>
      </c>
      <c r="N60" s="15">
        <f t="shared" si="2"/>
        <v>0</v>
      </c>
      <c r="O60" s="3">
        <v>2</v>
      </c>
      <c r="P60" s="15">
        <f t="shared" si="3"/>
        <v>60</v>
      </c>
      <c r="Q60" s="17">
        <v>1</v>
      </c>
      <c r="R60" s="15">
        <f t="shared" si="4"/>
        <v>2</v>
      </c>
      <c r="S60" s="15">
        <f t="shared" si="5"/>
        <v>60</v>
      </c>
      <c r="T60" s="4">
        <f t="shared" si="6"/>
        <v>2</v>
      </c>
      <c r="U60" s="3">
        <f t="shared" si="7"/>
        <v>60</v>
      </c>
      <c r="V60" s="19"/>
    </row>
    <row r="61" spans="1:22" ht="84" customHeight="1" x14ac:dyDescent="0.3">
      <c r="A61" s="7"/>
      <c r="B61" s="14" t="s">
        <v>537</v>
      </c>
      <c r="C61" s="66"/>
      <c r="D61" s="65"/>
      <c r="E61" s="65"/>
      <c r="F61" s="65"/>
      <c r="G61" s="12">
        <v>6</v>
      </c>
      <c r="H61" s="15">
        <v>180</v>
      </c>
      <c r="I61" s="15">
        <v>60</v>
      </c>
      <c r="J61" s="3">
        <v>0</v>
      </c>
      <c r="K61" s="15">
        <f t="shared" si="0"/>
        <v>0</v>
      </c>
      <c r="L61" s="17">
        <v>0</v>
      </c>
      <c r="M61" s="15">
        <f t="shared" si="1"/>
        <v>0</v>
      </c>
      <c r="N61" s="15">
        <f t="shared" si="2"/>
        <v>0</v>
      </c>
      <c r="O61" s="3">
        <v>2</v>
      </c>
      <c r="P61" s="15">
        <f t="shared" si="3"/>
        <v>60</v>
      </c>
      <c r="Q61" s="17">
        <v>1</v>
      </c>
      <c r="R61" s="15">
        <f t="shared" si="4"/>
        <v>2</v>
      </c>
      <c r="S61" s="15">
        <f t="shared" si="5"/>
        <v>60</v>
      </c>
      <c r="T61" s="4">
        <f t="shared" si="6"/>
        <v>2</v>
      </c>
      <c r="U61" s="3">
        <f t="shared" si="7"/>
        <v>60</v>
      </c>
      <c r="V61" s="19"/>
    </row>
    <row r="62" spans="1:22" ht="36" x14ac:dyDescent="0.3">
      <c r="A62" s="7"/>
      <c r="B62" s="14" t="s">
        <v>438</v>
      </c>
      <c r="C62" s="64" t="s">
        <v>206</v>
      </c>
      <c r="D62" s="64">
        <v>57</v>
      </c>
      <c r="E62" s="64">
        <v>2</v>
      </c>
      <c r="F62" s="64" t="s">
        <v>281</v>
      </c>
      <c r="G62" s="12">
        <v>5</v>
      </c>
      <c r="H62" s="15">
        <v>150</v>
      </c>
      <c r="I62" s="15">
        <v>45</v>
      </c>
      <c r="J62" s="3">
        <v>0.5</v>
      </c>
      <c r="K62" s="15">
        <f t="shared" si="0"/>
        <v>15</v>
      </c>
      <c r="L62" s="17">
        <v>1</v>
      </c>
      <c r="M62" s="15">
        <f t="shared" si="1"/>
        <v>0.5</v>
      </c>
      <c r="N62" s="15">
        <f t="shared" si="2"/>
        <v>15</v>
      </c>
      <c r="O62" s="3">
        <v>1</v>
      </c>
      <c r="P62" s="15">
        <f t="shared" si="3"/>
        <v>30</v>
      </c>
      <c r="Q62" s="17">
        <v>3</v>
      </c>
      <c r="R62" s="15">
        <f t="shared" si="4"/>
        <v>3</v>
      </c>
      <c r="S62" s="15">
        <f t="shared" si="5"/>
        <v>90</v>
      </c>
      <c r="T62" s="4">
        <f t="shared" si="6"/>
        <v>3.5</v>
      </c>
      <c r="U62" s="3">
        <f t="shared" si="7"/>
        <v>105</v>
      </c>
      <c r="V62" s="19"/>
    </row>
    <row r="63" spans="1:22" ht="36" x14ac:dyDescent="0.3">
      <c r="A63" s="7"/>
      <c r="B63" s="14" t="s">
        <v>439</v>
      </c>
      <c r="C63" s="65"/>
      <c r="D63" s="65"/>
      <c r="E63" s="65"/>
      <c r="F63" s="65"/>
      <c r="G63" s="12">
        <v>5</v>
      </c>
      <c r="H63" s="15">
        <v>150</v>
      </c>
      <c r="I63" s="15">
        <v>45</v>
      </c>
      <c r="J63" s="3">
        <v>0.5</v>
      </c>
      <c r="K63" s="15">
        <f t="shared" si="0"/>
        <v>15</v>
      </c>
      <c r="L63" s="17">
        <v>1</v>
      </c>
      <c r="M63" s="15">
        <f t="shared" si="1"/>
        <v>0.5</v>
      </c>
      <c r="N63" s="15">
        <f t="shared" si="2"/>
        <v>15</v>
      </c>
      <c r="O63" s="3">
        <v>1</v>
      </c>
      <c r="P63" s="15">
        <f t="shared" si="3"/>
        <v>30</v>
      </c>
      <c r="Q63" s="17">
        <v>3</v>
      </c>
      <c r="R63" s="15">
        <f t="shared" si="4"/>
        <v>3</v>
      </c>
      <c r="S63" s="15">
        <f t="shared" si="5"/>
        <v>90</v>
      </c>
      <c r="T63" s="4">
        <f t="shared" si="6"/>
        <v>3.5</v>
      </c>
      <c r="U63" s="3">
        <f t="shared" si="7"/>
        <v>105</v>
      </c>
      <c r="V63" s="19"/>
    </row>
    <row r="64" spans="1:22" x14ac:dyDescent="0.3">
      <c r="A64" s="7"/>
      <c r="B64" s="14" t="s">
        <v>440</v>
      </c>
      <c r="C64" s="65"/>
      <c r="D64" s="65"/>
      <c r="E64" s="65"/>
      <c r="F64" s="65"/>
      <c r="G64" s="12">
        <v>5</v>
      </c>
      <c r="H64" s="15">
        <v>150</v>
      </c>
      <c r="I64" s="15">
        <v>45</v>
      </c>
      <c r="J64" s="3">
        <v>0.5</v>
      </c>
      <c r="K64" s="15">
        <f t="shared" si="0"/>
        <v>15</v>
      </c>
      <c r="L64" s="17">
        <v>1</v>
      </c>
      <c r="M64" s="15">
        <f t="shared" si="1"/>
        <v>0.5</v>
      </c>
      <c r="N64" s="15">
        <f t="shared" si="2"/>
        <v>15</v>
      </c>
      <c r="O64" s="3">
        <v>1</v>
      </c>
      <c r="P64" s="15">
        <f t="shared" si="3"/>
        <v>30</v>
      </c>
      <c r="Q64" s="17">
        <v>3</v>
      </c>
      <c r="R64" s="15">
        <f t="shared" si="4"/>
        <v>3</v>
      </c>
      <c r="S64" s="15">
        <f t="shared" si="5"/>
        <v>90</v>
      </c>
      <c r="T64" s="4">
        <f t="shared" si="6"/>
        <v>3.5</v>
      </c>
      <c r="U64" s="3">
        <f t="shared" si="7"/>
        <v>105</v>
      </c>
      <c r="V64" s="19"/>
    </row>
    <row r="65" spans="1:23" x14ac:dyDescent="0.3">
      <c r="A65" s="7"/>
      <c r="B65" s="14" t="s">
        <v>441</v>
      </c>
      <c r="C65" s="65"/>
      <c r="D65" s="65"/>
      <c r="E65" s="65"/>
      <c r="F65" s="65"/>
      <c r="G65" s="12">
        <v>5</v>
      </c>
      <c r="H65" s="15">
        <v>150</v>
      </c>
      <c r="I65" s="15">
        <v>45</v>
      </c>
      <c r="J65" s="3">
        <v>0.5</v>
      </c>
      <c r="K65" s="15">
        <f t="shared" si="0"/>
        <v>15</v>
      </c>
      <c r="L65" s="17">
        <v>1</v>
      </c>
      <c r="M65" s="15">
        <f t="shared" si="1"/>
        <v>0.5</v>
      </c>
      <c r="N65" s="15">
        <f t="shared" si="2"/>
        <v>15</v>
      </c>
      <c r="O65" s="3">
        <v>1</v>
      </c>
      <c r="P65" s="15">
        <f t="shared" si="3"/>
        <v>30</v>
      </c>
      <c r="Q65" s="17">
        <v>3</v>
      </c>
      <c r="R65" s="15">
        <f t="shared" si="4"/>
        <v>3</v>
      </c>
      <c r="S65" s="15">
        <f t="shared" si="5"/>
        <v>90</v>
      </c>
      <c r="T65" s="4">
        <f t="shared" si="6"/>
        <v>3.5</v>
      </c>
      <c r="U65" s="3">
        <f t="shared" si="7"/>
        <v>105</v>
      </c>
      <c r="V65" s="19"/>
    </row>
    <row r="66" spans="1:23" ht="72" x14ac:dyDescent="0.3">
      <c r="B66" s="14" t="s">
        <v>442</v>
      </c>
      <c r="C66" s="65"/>
      <c r="D66" s="65"/>
      <c r="E66" s="65"/>
      <c r="F66" s="65"/>
      <c r="G66" s="12">
        <v>5</v>
      </c>
      <c r="H66" s="15">
        <v>150</v>
      </c>
      <c r="I66" s="15">
        <v>45</v>
      </c>
      <c r="J66" s="3">
        <v>0.5</v>
      </c>
      <c r="K66" s="15">
        <f t="shared" si="0"/>
        <v>15</v>
      </c>
      <c r="L66" s="17">
        <v>1</v>
      </c>
      <c r="M66" s="15">
        <f t="shared" si="1"/>
        <v>0.5</v>
      </c>
      <c r="N66" s="15">
        <f t="shared" si="2"/>
        <v>15</v>
      </c>
      <c r="O66" s="3">
        <v>1</v>
      </c>
      <c r="P66" s="15">
        <f t="shared" si="3"/>
        <v>30</v>
      </c>
      <c r="Q66" s="17">
        <v>3</v>
      </c>
      <c r="R66" s="15">
        <f t="shared" si="4"/>
        <v>3</v>
      </c>
      <c r="S66" s="15">
        <f t="shared" si="5"/>
        <v>90</v>
      </c>
      <c r="T66" s="4">
        <f t="shared" si="6"/>
        <v>3.5</v>
      </c>
      <c r="U66" s="3">
        <f t="shared" si="7"/>
        <v>105</v>
      </c>
      <c r="V66" s="19"/>
    </row>
    <row r="67" spans="1:23" ht="96.6" customHeight="1" x14ac:dyDescent="0.3">
      <c r="B67" s="14" t="s">
        <v>443</v>
      </c>
      <c r="C67" s="66"/>
      <c r="D67" s="65"/>
      <c r="E67" s="65"/>
      <c r="F67" s="65"/>
      <c r="G67" s="12">
        <v>5</v>
      </c>
      <c r="H67" s="15">
        <v>150</v>
      </c>
      <c r="I67" s="15">
        <v>45</v>
      </c>
      <c r="J67" s="3">
        <v>0.5</v>
      </c>
      <c r="K67" s="15">
        <f t="shared" si="0"/>
        <v>15</v>
      </c>
      <c r="L67" s="17">
        <v>1</v>
      </c>
      <c r="M67" s="15">
        <f t="shared" si="1"/>
        <v>0.5</v>
      </c>
      <c r="N67" s="15">
        <f t="shared" si="2"/>
        <v>15</v>
      </c>
      <c r="O67" s="3">
        <v>1</v>
      </c>
      <c r="P67" s="15">
        <f t="shared" si="3"/>
        <v>30</v>
      </c>
      <c r="Q67" s="17">
        <v>3</v>
      </c>
      <c r="R67" s="15">
        <f t="shared" si="4"/>
        <v>3</v>
      </c>
      <c r="S67" s="15">
        <f t="shared" si="5"/>
        <v>90</v>
      </c>
      <c r="T67" s="4">
        <f t="shared" si="6"/>
        <v>3.5</v>
      </c>
      <c r="U67" s="3">
        <f t="shared" si="7"/>
        <v>105</v>
      </c>
      <c r="V67" s="19"/>
    </row>
    <row r="68" spans="1:23" ht="54" x14ac:dyDescent="0.3">
      <c r="B68" s="14" t="s">
        <v>447</v>
      </c>
      <c r="C68" s="64" t="s">
        <v>17</v>
      </c>
      <c r="D68" s="64">
        <v>16</v>
      </c>
      <c r="E68" s="64"/>
      <c r="F68" s="101" t="s">
        <v>22</v>
      </c>
      <c r="G68" s="12">
        <v>5</v>
      </c>
      <c r="H68" s="15">
        <v>150</v>
      </c>
      <c r="I68" s="15">
        <v>45</v>
      </c>
      <c r="J68" s="3">
        <v>0.5</v>
      </c>
      <c r="K68" s="15">
        <f t="shared" si="0"/>
        <v>15</v>
      </c>
      <c r="L68" s="17">
        <v>1</v>
      </c>
      <c r="M68" s="15">
        <f t="shared" si="1"/>
        <v>0.5</v>
      </c>
      <c r="N68" s="15">
        <f t="shared" si="2"/>
        <v>15</v>
      </c>
      <c r="O68" s="3">
        <v>1</v>
      </c>
      <c r="P68" s="15">
        <f t="shared" si="3"/>
        <v>30</v>
      </c>
      <c r="Q68" s="17">
        <v>1</v>
      </c>
      <c r="R68" s="15">
        <f t="shared" si="4"/>
        <v>1</v>
      </c>
      <c r="S68" s="15">
        <f t="shared" si="5"/>
        <v>30</v>
      </c>
      <c r="T68" s="4">
        <f t="shared" si="6"/>
        <v>1.5</v>
      </c>
      <c r="U68" s="3">
        <f t="shared" si="7"/>
        <v>45</v>
      </c>
      <c r="V68" s="19" t="s">
        <v>579</v>
      </c>
    </row>
    <row r="69" spans="1:23" ht="72" x14ac:dyDescent="0.3">
      <c r="B69" s="14" t="s">
        <v>448</v>
      </c>
      <c r="C69" s="65"/>
      <c r="D69" s="65"/>
      <c r="E69" s="65"/>
      <c r="F69" s="102"/>
      <c r="G69" s="12">
        <v>5</v>
      </c>
      <c r="H69" s="15">
        <v>150</v>
      </c>
      <c r="I69" s="15">
        <v>45</v>
      </c>
      <c r="J69" s="3">
        <v>0.5</v>
      </c>
      <c r="K69" s="15">
        <f t="shared" si="0"/>
        <v>15</v>
      </c>
      <c r="L69" s="17">
        <v>1</v>
      </c>
      <c r="M69" s="15">
        <f t="shared" si="1"/>
        <v>0.5</v>
      </c>
      <c r="N69" s="15">
        <f t="shared" si="2"/>
        <v>15</v>
      </c>
      <c r="O69" s="3">
        <v>1</v>
      </c>
      <c r="P69" s="15">
        <f t="shared" si="3"/>
        <v>30</v>
      </c>
      <c r="Q69" s="17">
        <v>1</v>
      </c>
      <c r="R69" s="15">
        <f t="shared" si="4"/>
        <v>1</v>
      </c>
      <c r="S69" s="15">
        <f t="shared" si="5"/>
        <v>30</v>
      </c>
      <c r="T69" s="4">
        <f t="shared" si="6"/>
        <v>1.5</v>
      </c>
      <c r="U69" s="3">
        <f t="shared" si="7"/>
        <v>45</v>
      </c>
      <c r="V69" s="19" t="s">
        <v>579</v>
      </c>
    </row>
    <row r="70" spans="1:23" ht="36" x14ac:dyDescent="0.3">
      <c r="B70" s="14" t="s">
        <v>449</v>
      </c>
      <c r="C70" s="65"/>
      <c r="D70" s="65"/>
      <c r="E70" s="65"/>
      <c r="F70" s="102"/>
      <c r="G70" s="12">
        <v>4</v>
      </c>
      <c r="H70" s="15">
        <v>120</v>
      </c>
      <c r="I70" s="15">
        <v>45</v>
      </c>
      <c r="J70" s="3">
        <v>0.5</v>
      </c>
      <c r="K70" s="15">
        <f t="shared" ref="K70:K133" si="8">J70*30</f>
        <v>15</v>
      </c>
      <c r="L70" s="17">
        <v>1</v>
      </c>
      <c r="M70" s="15">
        <f t="shared" ref="M70:M133" si="9">J70*L70</f>
        <v>0.5</v>
      </c>
      <c r="N70" s="15">
        <f t="shared" ref="N70:N133" si="10">K70*L70</f>
        <v>15</v>
      </c>
      <c r="O70" s="3">
        <v>1</v>
      </c>
      <c r="P70" s="15">
        <f t="shared" ref="P70:P133" si="11">O70*30</f>
        <v>30</v>
      </c>
      <c r="Q70" s="17">
        <v>1</v>
      </c>
      <c r="R70" s="15">
        <f t="shared" ref="R70:R133" si="12">O70*Q70</f>
        <v>1</v>
      </c>
      <c r="S70" s="15">
        <f t="shared" ref="S70:S133" si="13">P70*Q70</f>
        <v>30</v>
      </c>
      <c r="T70" s="4">
        <f t="shared" ref="T70:T133" si="14">M70+R70</f>
        <v>1.5</v>
      </c>
      <c r="U70" s="3">
        <f t="shared" ref="U70:U133" si="15">N70+S70</f>
        <v>45</v>
      </c>
      <c r="V70" s="19" t="s">
        <v>583</v>
      </c>
    </row>
    <row r="71" spans="1:23" x14ac:dyDescent="0.3">
      <c r="B71" s="14" t="s">
        <v>444</v>
      </c>
      <c r="C71" s="65"/>
      <c r="D71" s="65"/>
      <c r="E71" s="65"/>
      <c r="F71" s="102"/>
      <c r="G71" s="12">
        <v>4</v>
      </c>
      <c r="H71" s="15">
        <v>120</v>
      </c>
      <c r="I71" s="15">
        <v>45</v>
      </c>
      <c r="J71" s="3">
        <v>0.5</v>
      </c>
      <c r="K71" s="15">
        <f t="shared" si="8"/>
        <v>15</v>
      </c>
      <c r="L71" s="17">
        <v>1</v>
      </c>
      <c r="M71" s="15">
        <f t="shared" si="9"/>
        <v>0.5</v>
      </c>
      <c r="N71" s="15">
        <f t="shared" si="10"/>
        <v>15</v>
      </c>
      <c r="O71" s="3">
        <v>1</v>
      </c>
      <c r="P71" s="15">
        <f t="shared" si="11"/>
        <v>30</v>
      </c>
      <c r="Q71" s="17">
        <v>1</v>
      </c>
      <c r="R71" s="15">
        <f t="shared" si="12"/>
        <v>1</v>
      </c>
      <c r="S71" s="15">
        <f t="shared" si="13"/>
        <v>30</v>
      </c>
      <c r="T71" s="4">
        <f t="shared" si="14"/>
        <v>1.5</v>
      </c>
      <c r="U71" s="3">
        <f t="shared" si="15"/>
        <v>45</v>
      </c>
      <c r="V71" s="19" t="s">
        <v>585</v>
      </c>
    </row>
    <row r="72" spans="1:23" x14ac:dyDescent="0.3">
      <c r="B72" s="14" t="s">
        <v>374</v>
      </c>
      <c r="C72" s="65"/>
      <c r="D72" s="65"/>
      <c r="E72" s="65"/>
      <c r="F72" s="102"/>
      <c r="G72" s="12">
        <v>4</v>
      </c>
      <c r="H72" s="15">
        <v>120</v>
      </c>
      <c r="I72" s="15">
        <v>45</v>
      </c>
      <c r="J72" s="3">
        <v>0.5</v>
      </c>
      <c r="K72" s="15">
        <f t="shared" si="8"/>
        <v>15</v>
      </c>
      <c r="L72" s="17">
        <v>1</v>
      </c>
      <c r="M72" s="15">
        <f t="shared" si="9"/>
        <v>0.5</v>
      </c>
      <c r="N72" s="15">
        <f t="shared" si="10"/>
        <v>15</v>
      </c>
      <c r="O72" s="3">
        <v>1</v>
      </c>
      <c r="P72" s="15">
        <f t="shared" si="11"/>
        <v>30</v>
      </c>
      <c r="Q72" s="17">
        <v>1</v>
      </c>
      <c r="R72" s="15">
        <f t="shared" si="12"/>
        <v>1</v>
      </c>
      <c r="S72" s="15">
        <f t="shared" si="13"/>
        <v>30</v>
      </c>
      <c r="T72" s="4">
        <f t="shared" si="14"/>
        <v>1.5</v>
      </c>
      <c r="U72" s="3">
        <f t="shared" si="15"/>
        <v>45</v>
      </c>
      <c r="V72" s="19" t="s">
        <v>584</v>
      </c>
    </row>
    <row r="73" spans="1:23" x14ac:dyDescent="0.35">
      <c r="A73" s="8"/>
      <c r="B73" s="14" t="s">
        <v>445</v>
      </c>
      <c r="C73" s="65"/>
      <c r="D73" s="65"/>
      <c r="E73" s="65"/>
      <c r="F73" s="102"/>
      <c r="G73" s="16">
        <v>5</v>
      </c>
      <c r="H73" s="15">
        <v>150</v>
      </c>
      <c r="I73" s="15">
        <v>45</v>
      </c>
      <c r="J73" s="3">
        <v>0.5</v>
      </c>
      <c r="K73" s="15">
        <f t="shared" si="8"/>
        <v>15</v>
      </c>
      <c r="L73" s="17">
        <v>1</v>
      </c>
      <c r="M73" s="15">
        <f t="shared" si="9"/>
        <v>0.5</v>
      </c>
      <c r="N73" s="15">
        <f t="shared" si="10"/>
        <v>15</v>
      </c>
      <c r="O73" s="3">
        <v>1</v>
      </c>
      <c r="P73" s="15">
        <f t="shared" si="11"/>
        <v>30</v>
      </c>
      <c r="Q73" s="17">
        <v>1</v>
      </c>
      <c r="R73" s="15">
        <f t="shared" si="12"/>
        <v>1</v>
      </c>
      <c r="S73" s="15">
        <f t="shared" si="13"/>
        <v>30</v>
      </c>
      <c r="T73" s="4">
        <f t="shared" si="14"/>
        <v>1.5</v>
      </c>
      <c r="U73" s="3">
        <f t="shared" si="15"/>
        <v>45</v>
      </c>
      <c r="V73" s="25" t="s">
        <v>584</v>
      </c>
    </row>
    <row r="74" spans="1:23" ht="36" x14ac:dyDescent="0.35">
      <c r="A74" s="8"/>
      <c r="B74" s="14" t="s">
        <v>446</v>
      </c>
      <c r="C74" s="66"/>
      <c r="D74" s="65"/>
      <c r="E74" s="65"/>
      <c r="F74" s="103"/>
      <c r="G74" s="16">
        <v>3</v>
      </c>
      <c r="H74" s="15">
        <v>90</v>
      </c>
      <c r="I74" s="15">
        <v>30</v>
      </c>
      <c r="J74" s="3">
        <v>0.5</v>
      </c>
      <c r="K74" s="15">
        <f t="shared" si="8"/>
        <v>15</v>
      </c>
      <c r="L74" s="17">
        <v>1</v>
      </c>
      <c r="M74" s="15">
        <f t="shared" si="9"/>
        <v>0.5</v>
      </c>
      <c r="N74" s="15">
        <f t="shared" si="10"/>
        <v>15</v>
      </c>
      <c r="O74" s="3">
        <v>0.5</v>
      </c>
      <c r="P74" s="15">
        <f t="shared" si="11"/>
        <v>15</v>
      </c>
      <c r="Q74" s="17">
        <v>1</v>
      </c>
      <c r="R74" s="15">
        <f t="shared" si="12"/>
        <v>0.5</v>
      </c>
      <c r="S74" s="15">
        <f t="shared" si="13"/>
        <v>15</v>
      </c>
      <c r="T74" s="4">
        <f t="shared" si="14"/>
        <v>1</v>
      </c>
      <c r="U74" s="3">
        <f t="shared" si="15"/>
        <v>30</v>
      </c>
      <c r="V74" s="25" t="s">
        <v>583</v>
      </c>
    </row>
    <row r="75" spans="1:23" x14ac:dyDescent="0.3">
      <c r="A75" s="7"/>
      <c r="B75" s="62" t="s">
        <v>396</v>
      </c>
      <c r="C75" s="13" t="s">
        <v>17</v>
      </c>
      <c r="D75" s="64">
        <v>10</v>
      </c>
      <c r="E75" s="64">
        <v>6</v>
      </c>
      <c r="F75" s="64" t="s">
        <v>23</v>
      </c>
      <c r="G75" s="64">
        <v>5</v>
      </c>
      <c r="H75" s="15">
        <v>150</v>
      </c>
      <c r="I75" s="15">
        <v>45</v>
      </c>
      <c r="J75" s="3">
        <v>0.5</v>
      </c>
      <c r="K75" s="15">
        <f t="shared" si="8"/>
        <v>15</v>
      </c>
      <c r="L75" s="17">
        <v>1</v>
      </c>
      <c r="M75" s="15">
        <f t="shared" si="9"/>
        <v>0.5</v>
      </c>
      <c r="N75" s="15">
        <f t="shared" si="10"/>
        <v>15</v>
      </c>
      <c r="O75" s="3">
        <v>1</v>
      </c>
      <c r="P75" s="15">
        <f t="shared" si="11"/>
        <v>30</v>
      </c>
      <c r="Q75" s="17">
        <v>1</v>
      </c>
      <c r="R75" s="15">
        <f t="shared" si="12"/>
        <v>1</v>
      </c>
      <c r="S75" s="15">
        <f t="shared" si="13"/>
        <v>30</v>
      </c>
      <c r="T75" s="4">
        <f t="shared" si="14"/>
        <v>1.5</v>
      </c>
      <c r="U75" s="3">
        <f t="shared" si="15"/>
        <v>45</v>
      </c>
      <c r="V75" s="19" t="s">
        <v>594</v>
      </c>
      <c r="W75">
        <v>1.5</v>
      </c>
    </row>
    <row r="76" spans="1:23" x14ac:dyDescent="0.3">
      <c r="A76" s="7"/>
      <c r="B76" s="63"/>
      <c r="C76" s="13" t="s">
        <v>18</v>
      </c>
      <c r="D76" s="65"/>
      <c r="E76" s="65"/>
      <c r="F76" s="65"/>
      <c r="G76" s="66"/>
      <c r="H76" s="15">
        <v>150</v>
      </c>
      <c r="I76" s="15">
        <v>45</v>
      </c>
      <c r="J76" s="3">
        <v>0.5</v>
      </c>
      <c r="K76" s="15">
        <f t="shared" si="8"/>
        <v>15</v>
      </c>
      <c r="L76" s="17">
        <v>1</v>
      </c>
      <c r="M76" s="15">
        <f t="shared" si="9"/>
        <v>0.5</v>
      </c>
      <c r="N76" s="15">
        <f t="shared" si="10"/>
        <v>15</v>
      </c>
      <c r="O76" s="3">
        <v>1</v>
      </c>
      <c r="P76" s="15">
        <f t="shared" si="11"/>
        <v>30</v>
      </c>
      <c r="Q76" s="17">
        <v>1</v>
      </c>
      <c r="R76" s="15">
        <f t="shared" si="12"/>
        <v>1</v>
      </c>
      <c r="S76" s="15">
        <f t="shared" si="13"/>
        <v>30</v>
      </c>
      <c r="T76" s="4">
        <f t="shared" si="14"/>
        <v>1.5</v>
      </c>
      <c r="U76" s="3">
        <f t="shared" si="15"/>
        <v>45</v>
      </c>
      <c r="V76" s="19" t="s">
        <v>594</v>
      </c>
      <c r="W76">
        <v>1.5</v>
      </c>
    </row>
    <row r="77" spans="1:23" x14ac:dyDescent="0.3">
      <c r="A77" s="7"/>
      <c r="B77" s="62" t="s">
        <v>397</v>
      </c>
      <c r="C77" s="13" t="s">
        <v>17</v>
      </c>
      <c r="D77" s="65"/>
      <c r="E77" s="65"/>
      <c r="F77" s="65"/>
      <c r="G77" s="64">
        <v>5</v>
      </c>
      <c r="H77" s="15">
        <v>150</v>
      </c>
      <c r="I77" s="15">
        <v>45</v>
      </c>
      <c r="J77" s="3">
        <v>0.5</v>
      </c>
      <c r="K77" s="15">
        <f t="shared" si="8"/>
        <v>15</v>
      </c>
      <c r="L77" s="17">
        <v>1</v>
      </c>
      <c r="M77" s="15">
        <f t="shared" si="9"/>
        <v>0.5</v>
      </c>
      <c r="N77" s="15">
        <f t="shared" si="10"/>
        <v>15</v>
      </c>
      <c r="O77" s="3">
        <v>1</v>
      </c>
      <c r="P77" s="15">
        <f t="shared" si="11"/>
        <v>30</v>
      </c>
      <c r="Q77" s="17">
        <v>1</v>
      </c>
      <c r="R77" s="15">
        <f t="shared" si="12"/>
        <v>1</v>
      </c>
      <c r="S77" s="15">
        <f t="shared" si="13"/>
        <v>30</v>
      </c>
      <c r="T77" s="4">
        <f t="shared" si="14"/>
        <v>1.5</v>
      </c>
      <c r="U77" s="3">
        <f t="shared" si="15"/>
        <v>45</v>
      </c>
      <c r="V77" s="53" t="s">
        <v>599</v>
      </c>
      <c r="W77">
        <v>1.5</v>
      </c>
    </row>
    <row r="78" spans="1:23" x14ac:dyDescent="0.3">
      <c r="A78" s="7"/>
      <c r="B78" s="63"/>
      <c r="C78" s="13" t="s">
        <v>18</v>
      </c>
      <c r="D78" s="65"/>
      <c r="E78" s="65"/>
      <c r="F78" s="65"/>
      <c r="G78" s="66"/>
      <c r="H78" s="15">
        <v>150</v>
      </c>
      <c r="I78" s="15">
        <v>45</v>
      </c>
      <c r="J78" s="3">
        <v>0.5</v>
      </c>
      <c r="K78" s="15">
        <f t="shared" si="8"/>
        <v>15</v>
      </c>
      <c r="L78" s="17">
        <v>1</v>
      </c>
      <c r="M78" s="15">
        <f t="shared" si="9"/>
        <v>0.5</v>
      </c>
      <c r="N78" s="15">
        <f t="shared" si="10"/>
        <v>15</v>
      </c>
      <c r="O78" s="3">
        <v>1</v>
      </c>
      <c r="P78" s="15">
        <f t="shared" si="11"/>
        <v>30</v>
      </c>
      <c r="Q78" s="17">
        <v>1</v>
      </c>
      <c r="R78" s="15">
        <f t="shared" si="12"/>
        <v>1</v>
      </c>
      <c r="S78" s="15">
        <f t="shared" si="13"/>
        <v>30</v>
      </c>
      <c r="T78" s="4">
        <f t="shared" si="14"/>
        <v>1.5</v>
      </c>
      <c r="U78" s="3">
        <f t="shared" si="15"/>
        <v>45</v>
      </c>
      <c r="V78" s="53" t="s">
        <v>599</v>
      </c>
      <c r="W78">
        <v>1.5</v>
      </c>
    </row>
    <row r="79" spans="1:23" x14ac:dyDescent="0.3">
      <c r="A79" s="7"/>
      <c r="B79" s="62" t="s">
        <v>34</v>
      </c>
      <c r="C79" s="13" t="s">
        <v>17</v>
      </c>
      <c r="D79" s="65"/>
      <c r="E79" s="65"/>
      <c r="F79" s="65"/>
      <c r="G79" s="64">
        <v>5</v>
      </c>
      <c r="H79" s="15">
        <v>150</v>
      </c>
      <c r="I79" s="15">
        <v>45</v>
      </c>
      <c r="J79" s="3">
        <v>0</v>
      </c>
      <c r="K79" s="15">
        <f t="shared" si="8"/>
        <v>0</v>
      </c>
      <c r="L79" s="17">
        <v>0</v>
      </c>
      <c r="M79" s="15">
        <f t="shared" si="9"/>
        <v>0</v>
      </c>
      <c r="N79" s="15">
        <f t="shared" si="10"/>
        <v>0</v>
      </c>
      <c r="O79" s="3">
        <v>1.5</v>
      </c>
      <c r="P79" s="15">
        <f t="shared" si="11"/>
        <v>45</v>
      </c>
      <c r="Q79" s="17">
        <v>1</v>
      </c>
      <c r="R79" s="15">
        <f t="shared" si="12"/>
        <v>1.5</v>
      </c>
      <c r="S79" s="15">
        <f t="shared" si="13"/>
        <v>45</v>
      </c>
      <c r="T79" s="4">
        <f t="shared" si="14"/>
        <v>1.5</v>
      </c>
      <c r="U79" s="3">
        <f t="shared" si="15"/>
        <v>45</v>
      </c>
      <c r="V79" s="56"/>
    </row>
    <row r="80" spans="1:23" x14ac:dyDescent="0.3">
      <c r="A80" s="7"/>
      <c r="B80" s="63"/>
      <c r="C80" s="13" t="s">
        <v>18</v>
      </c>
      <c r="D80" s="65"/>
      <c r="E80" s="65"/>
      <c r="F80" s="65"/>
      <c r="G80" s="66"/>
      <c r="H80" s="15">
        <v>150</v>
      </c>
      <c r="I80" s="15">
        <v>45</v>
      </c>
      <c r="J80" s="3">
        <v>0</v>
      </c>
      <c r="K80" s="15">
        <f t="shared" si="8"/>
        <v>0</v>
      </c>
      <c r="L80" s="17">
        <v>0</v>
      </c>
      <c r="M80" s="15">
        <f t="shared" si="9"/>
        <v>0</v>
      </c>
      <c r="N80" s="15">
        <f t="shared" si="10"/>
        <v>0</v>
      </c>
      <c r="O80" s="3">
        <v>1.5</v>
      </c>
      <c r="P80" s="15">
        <f t="shared" si="11"/>
        <v>45</v>
      </c>
      <c r="Q80" s="17">
        <v>1</v>
      </c>
      <c r="R80" s="15">
        <f t="shared" si="12"/>
        <v>1.5</v>
      </c>
      <c r="S80" s="15">
        <f t="shared" si="13"/>
        <v>45</v>
      </c>
      <c r="T80" s="4">
        <f t="shared" si="14"/>
        <v>1.5</v>
      </c>
      <c r="U80" s="3">
        <f t="shared" si="15"/>
        <v>45</v>
      </c>
      <c r="V80" s="19"/>
    </row>
    <row r="81" spans="1:23" x14ac:dyDescent="0.3">
      <c r="A81" s="7"/>
      <c r="B81" s="62" t="s">
        <v>602</v>
      </c>
      <c r="C81" s="13" t="s">
        <v>17</v>
      </c>
      <c r="D81" s="65"/>
      <c r="E81" s="65"/>
      <c r="F81" s="65"/>
      <c r="G81" s="64">
        <v>5</v>
      </c>
      <c r="H81" s="15">
        <v>150</v>
      </c>
      <c r="I81" s="15">
        <v>45</v>
      </c>
      <c r="J81" s="3">
        <v>0.5</v>
      </c>
      <c r="K81" s="15">
        <f t="shared" si="8"/>
        <v>15</v>
      </c>
      <c r="L81" s="17">
        <v>1</v>
      </c>
      <c r="M81" s="15">
        <f t="shared" si="9"/>
        <v>0.5</v>
      </c>
      <c r="N81" s="15">
        <f t="shared" si="10"/>
        <v>15</v>
      </c>
      <c r="O81" s="3">
        <v>1</v>
      </c>
      <c r="P81" s="15">
        <f t="shared" si="11"/>
        <v>30</v>
      </c>
      <c r="Q81" s="17">
        <v>1</v>
      </c>
      <c r="R81" s="15">
        <f t="shared" si="12"/>
        <v>1</v>
      </c>
      <c r="S81" s="15">
        <f t="shared" si="13"/>
        <v>30</v>
      </c>
      <c r="T81" s="4">
        <f t="shared" si="14"/>
        <v>1.5</v>
      </c>
      <c r="U81" s="3">
        <f t="shared" si="15"/>
        <v>45</v>
      </c>
      <c r="V81" s="19" t="s">
        <v>595</v>
      </c>
      <c r="W81">
        <v>1.5</v>
      </c>
    </row>
    <row r="82" spans="1:23" x14ac:dyDescent="0.3">
      <c r="A82" s="7"/>
      <c r="B82" s="63"/>
      <c r="C82" s="13" t="s">
        <v>18</v>
      </c>
      <c r="D82" s="65"/>
      <c r="E82" s="65"/>
      <c r="F82" s="65"/>
      <c r="G82" s="66"/>
      <c r="H82" s="15">
        <v>150</v>
      </c>
      <c r="I82" s="15">
        <v>45</v>
      </c>
      <c r="J82" s="3">
        <v>0.5</v>
      </c>
      <c r="K82" s="15">
        <f t="shared" si="8"/>
        <v>15</v>
      </c>
      <c r="L82" s="17">
        <v>1</v>
      </c>
      <c r="M82" s="15">
        <f t="shared" si="9"/>
        <v>0.5</v>
      </c>
      <c r="N82" s="15">
        <f t="shared" si="10"/>
        <v>15</v>
      </c>
      <c r="O82" s="3">
        <v>1</v>
      </c>
      <c r="P82" s="15">
        <f t="shared" si="11"/>
        <v>30</v>
      </c>
      <c r="Q82" s="17">
        <v>1</v>
      </c>
      <c r="R82" s="15">
        <f t="shared" si="12"/>
        <v>1</v>
      </c>
      <c r="S82" s="15">
        <f t="shared" si="13"/>
        <v>30</v>
      </c>
      <c r="T82" s="4">
        <f t="shared" si="14"/>
        <v>1.5</v>
      </c>
      <c r="U82" s="3">
        <f t="shared" si="15"/>
        <v>45</v>
      </c>
      <c r="V82" s="19" t="s">
        <v>595</v>
      </c>
      <c r="W82">
        <v>1.5</v>
      </c>
    </row>
    <row r="83" spans="1:23" x14ac:dyDescent="0.3">
      <c r="A83" s="7"/>
      <c r="B83" s="62" t="s">
        <v>610</v>
      </c>
      <c r="C83" s="13" t="s">
        <v>17</v>
      </c>
      <c r="D83" s="65"/>
      <c r="E83" s="65"/>
      <c r="F83" s="65"/>
      <c r="G83" s="64">
        <v>6</v>
      </c>
      <c r="H83" s="15">
        <v>180</v>
      </c>
      <c r="I83" s="15">
        <v>60</v>
      </c>
      <c r="J83" s="3">
        <v>1</v>
      </c>
      <c r="K83" s="15">
        <f t="shared" si="8"/>
        <v>30</v>
      </c>
      <c r="L83" s="17">
        <v>1</v>
      </c>
      <c r="M83" s="15">
        <f t="shared" si="9"/>
        <v>1</v>
      </c>
      <c r="N83" s="15">
        <f t="shared" si="10"/>
        <v>30</v>
      </c>
      <c r="O83" s="3">
        <v>1</v>
      </c>
      <c r="P83" s="15">
        <f t="shared" si="11"/>
        <v>30</v>
      </c>
      <c r="Q83" s="17">
        <v>1</v>
      </c>
      <c r="R83" s="15">
        <f t="shared" si="12"/>
        <v>1</v>
      </c>
      <c r="S83" s="15">
        <f t="shared" si="13"/>
        <v>30</v>
      </c>
      <c r="T83" s="4">
        <f t="shared" si="14"/>
        <v>2</v>
      </c>
      <c r="U83" s="3">
        <f t="shared" si="15"/>
        <v>60</v>
      </c>
      <c r="V83" s="19" t="s">
        <v>594</v>
      </c>
      <c r="W83">
        <v>2</v>
      </c>
    </row>
    <row r="84" spans="1:23" x14ac:dyDescent="0.3">
      <c r="A84" s="7"/>
      <c r="B84" s="63"/>
      <c r="C84" s="13" t="s">
        <v>18</v>
      </c>
      <c r="D84" s="65"/>
      <c r="E84" s="65"/>
      <c r="F84" s="65"/>
      <c r="G84" s="66"/>
      <c r="H84" s="15">
        <v>180</v>
      </c>
      <c r="I84" s="15">
        <v>60</v>
      </c>
      <c r="J84" s="3">
        <v>1</v>
      </c>
      <c r="K84" s="15">
        <f t="shared" si="8"/>
        <v>30</v>
      </c>
      <c r="L84" s="17">
        <v>1</v>
      </c>
      <c r="M84" s="15">
        <f t="shared" si="9"/>
        <v>1</v>
      </c>
      <c r="N84" s="15">
        <f t="shared" si="10"/>
        <v>30</v>
      </c>
      <c r="O84" s="3">
        <v>1</v>
      </c>
      <c r="P84" s="15">
        <f t="shared" si="11"/>
        <v>30</v>
      </c>
      <c r="Q84" s="17">
        <v>1</v>
      </c>
      <c r="R84" s="15">
        <f t="shared" si="12"/>
        <v>1</v>
      </c>
      <c r="S84" s="15">
        <f t="shared" si="13"/>
        <v>30</v>
      </c>
      <c r="T84" s="4">
        <f t="shared" si="14"/>
        <v>2</v>
      </c>
      <c r="U84" s="3">
        <f t="shared" si="15"/>
        <v>60</v>
      </c>
      <c r="V84" s="19" t="s">
        <v>614</v>
      </c>
      <c r="W84">
        <v>2</v>
      </c>
    </row>
    <row r="85" spans="1:23" x14ac:dyDescent="0.3">
      <c r="A85" s="7"/>
      <c r="B85" s="62" t="s">
        <v>398</v>
      </c>
      <c r="C85" s="13" t="s">
        <v>17</v>
      </c>
      <c r="D85" s="65"/>
      <c r="E85" s="65"/>
      <c r="F85" s="65"/>
      <c r="G85" s="64">
        <v>4</v>
      </c>
      <c r="H85" s="15">
        <v>120</v>
      </c>
      <c r="I85" s="15">
        <v>45</v>
      </c>
      <c r="J85" s="3">
        <v>0.5</v>
      </c>
      <c r="K85" s="15">
        <f t="shared" si="8"/>
        <v>15</v>
      </c>
      <c r="L85" s="17">
        <v>1</v>
      </c>
      <c r="M85" s="15">
        <f t="shared" si="9"/>
        <v>0.5</v>
      </c>
      <c r="N85" s="15">
        <f t="shared" si="10"/>
        <v>15</v>
      </c>
      <c r="O85" s="3">
        <v>1</v>
      </c>
      <c r="P85" s="15">
        <f t="shared" si="11"/>
        <v>30</v>
      </c>
      <c r="Q85" s="17">
        <v>1</v>
      </c>
      <c r="R85" s="15">
        <f t="shared" si="12"/>
        <v>1</v>
      </c>
      <c r="S85" s="15">
        <f t="shared" si="13"/>
        <v>30</v>
      </c>
      <c r="T85" s="4">
        <f t="shared" si="14"/>
        <v>1.5</v>
      </c>
      <c r="U85" s="3">
        <f t="shared" si="15"/>
        <v>45</v>
      </c>
      <c r="V85" s="19"/>
      <c r="W85">
        <f>SUM(W75:W84)</f>
        <v>13</v>
      </c>
    </row>
    <row r="86" spans="1:23" x14ac:dyDescent="0.3">
      <c r="A86" s="7"/>
      <c r="B86" s="63"/>
      <c r="C86" s="13" t="s">
        <v>18</v>
      </c>
      <c r="D86" s="66"/>
      <c r="E86" s="66"/>
      <c r="F86" s="66"/>
      <c r="G86" s="66"/>
      <c r="H86" s="15">
        <v>120</v>
      </c>
      <c r="I86" s="15">
        <v>45</v>
      </c>
      <c r="J86" s="3">
        <v>0.5</v>
      </c>
      <c r="K86" s="15">
        <f t="shared" si="8"/>
        <v>15</v>
      </c>
      <c r="L86" s="17">
        <v>1</v>
      </c>
      <c r="M86" s="15">
        <f t="shared" si="9"/>
        <v>0.5</v>
      </c>
      <c r="N86" s="15">
        <f t="shared" si="10"/>
        <v>15</v>
      </c>
      <c r="O86" s="3">
        <v>1</v>
      </c>
      <c r="P86" s="15">
        <f t="shared" si="11"/>
        <v>30</v>
      </c>
      <c r="Q86" s="17">
        <v>1</v>
      </c>
      <c r="R86" s="15">
        <f t="shared" si="12"/>
        <v>1</v>
      </c>
      <c r="S86" s="15">
        <f t="shared" si="13"/>
        <v>30</v>
      </c>
      <c r="T86" s="4">
        <f t="shared" si="14"/>
        <v>1.5</v>
      </c>
      <c r="U86" s="3">
        <f t="shared" si="15"/>
        <v>45</v>
      </c>
      <c r="V86" s="19"/>
    </row>
    <row r="87" spans="1:23" x14ac:dyDescent="0.3">
      <c r="A87" s="7"/>
      <c r="B87" s="62" t="s">
        <v>450</v>
      </c>
      <c r="C87" s="13" t="s">
        <v>17</v>
      </c>
      <c r="D87" s="64">
        <v>22</v>
      </c>
      <c r="E87" s="64">
        <v>4</v>
      </c>
      <c r="F87" s="64" t="s">
        <v>24</v>
      </c>
      <c r="G87" s="64">
        <v>6</v>
      </c>
      <c r="H87" s="15">
        <v>180</v>
      </c>
      <c r="I87" s="15">
        <v>60</v>
      </c>
      <c r="J87" s="3">
        <v>1</v>
      </c>
      <c r="K87" s="15">
        <f t="shared" si="8"/>
        <v>30</v>
      </c>
      <c r="L87" s="17">
        <v>1</v>
      </c>
      <c r="M87" s="15">
        <f t="shared" si="9"/>
        <v>1</v>
      </c>
      <c r="N87" s="15">
        <f t="shared" si="10"/>
        <v>30</v>
      </c>
      <c r="O87" s="3">
        <v>1</v>
      </c>
      <c r="P87" s="15">
        <f t="shared" si="11"/>
        <v>30</v>
      </c>
      <c r="Q87" s="17">
        <v>2</v>
      </c>
      <c r="R87" s="15">
        <f t="shared" si="12"/>
        <v>2</v>
      </c>
      <c r="S87" s="15">
        <f t="shared" si="13"/>
        <v>60</v>
      </c>
      <c r="T87" s="4">
        <f t="shared" si="14"/>
        <v>3</v>
      </c>
      <c r="U87" s="3">
        <f t="shared" si="15"/>
        <v>90</v>
      </c>
      <c r="V87" s="19"/>
    </row>
    <row r="88" spans="1:23" x14ac:dyDescent="0.3">
      <c r="A88" s="7"/>
      <c r="B88" s="63"/>
      <c r="C88" s="13" t="s">
        <v>18</v>
      </c>
      <c r="D88" s="65"/>
      <c r="E88" s="65"/>
      <c r="F88" s="65"/>
      <c r="G88" s="66"/>
      <c r="H88" s="15">
        <v>180</v>
      </c>
      <c r="I88" s="15">
        <v>60</v>
      </c>
      <c r="J88" s="3">
        <v>1</v>
      </c>
      <c r="K88" s="15">
        <f t="shared" si="8"/>
        <v>30</v>
      </c>
      <c r="L88" s="17">
        <v>1</v>
      </c>
      <c r="M88" s="15">
        <f t="shared" si="9"/>
        <v>1</v>
      </c>
      <c r="N88" s="15">
        <f t="shared" si="10"/>
        <v>30</v>
      </c>
      <c r="O88" s="3">
        <v>1</v>
      </c>
      <c r="P88" s="15">
        <f t="shared" si="11"/>
        <v>30</v>
      </c>
      <c r="Q88" s="17">
        <v>1</v>
      </c>
      <c r="R88" s="15">
        <f t="shared" si="12"/>
        <v>1</v>
      </c>
      <c r="S88" s="15">
        <f t="shared" si="13"/>
        <v>30</v>
      </c>
      <c r="T88" s="4">
        <f t="shared" si="14"/>
        <v>2</v>
      </c>
      <c r="U88" s="3">
        <f t="shared" si="15"/>
        <v>60</v>
      </c>
      <c r="V88" s="19"/>
    </row>
    <row r="89" spans="1:23" x14ac:dyDescent="0.3">
      <c r="A89" s="7"/>
      <c r="B89" s="62" t="s">
        <v>451</v>
      </c>
      <c r="C89" s="13" t="s">
        <v>17</v>
      </c>
      <c r="D89" s="65"/>
      <c r="E89" s="65"/>
      <c r="F89" s="65"/>
      <c r="G89" s="64">
        <v>6</v>
      </c>
      <c r="H89" s="15">
        <v>180</v>
      </c>
      <c r="I89" s="15">
        <v>60</v>
      </c>
      <c r="J89" s="3">
        <v>1</v>
      </c>
      <c r="K89" s="15">
        <f t="shared" si="8"/>
        <v>30</v>
      </c>
      <c r="L89" s="17">
        <v>1</v>
      </c>
      <c r="M89" s="15">
        <f t="shared" si="9"/>
        <v>1</v>
      </c>
      <c r="N89" s="15">
        <f t="shared" si="10"/>
        <v>30</v>
      </c>
      <c r="O89" s="3">
        <v>1</v>
      </c>
      <c r="P89" s="15">
        <f t="shared" si="11"/>
        <v>30</v>
      </c>
      <c r="Q89" s="17">
        <v>2</v>
      </c>
      <c r="R89" s="15">
        <f t="shared" si="12"/>
        <v>2</v>
      </c>
      <c r="S89" s="15">
        <f t="shared" si="13"/>
        <v>60</v>
      </c>
      <c r="T89" s="4">
        <f t="shared" si="14"/>
        <v>3</v>
      </c>
      <c r="U89" s="3">
        <f t="shared" si="15"/>
        <v>90</v>
      </c>
      <c r="V89" s="19"/>
    </row>
    <row r="90" spans="1:23" x14ac:dyDescent="0.3">
      <c r="A90" s="7"/>
      <c r="B90" s="63"/>
      <c r="C90" s="13" t="s">
        <v>18</v>
      </c>
      <c r="D90" s="65"/>
      <c r="E90" s="65"/>
      <c r="F90" s="65"/>
      <c r="G90" s="66"/>
      <c r="H90" s="15">
        <v>180</v>
      </c>
      <c r="I90" s="15">
        <v>60</v>
      </c>
      <c r="J90" s="3">
        <v>1</v>
      </c>
      <c r="K90" s="15">
        <f t="shared" si="8"/>
        <v>30</v>
      </c>
      <c r="L90" s="17">
        <v>1</v>
      </c>
      <c r="M90" s="15">
        <f t="shared" si="9"/>
        <v>1</v>
      </c>
      <c r="N90" s="15">
        <f t="shared" si="10"/>
        <v>30</v>
      </c>
      <c r="O90" s="3">
        <v>1</v>
      </c>
      <c r="P90" s="15">
        <f t="shared" si="11"/>
        <v>30</v>
      </c>
      <c r="Q90" s="17">
        <v>1</v>
      </c>
      <c r="R90" s="15">
        <f t="shared" si="12"/>
        <v>1</v>
      </c>
      <c r="S90" s="15">
        <f t="shared" si="13"/>
        <v>30</v>
      </c>
      <c r="T90" s="4">
        <f t="shared" si="14"/>
        <v>2</v>
      </c>
      <c r="U90" s="3">
        <f t="shared" si="15"/>
        <v>60</v>
      </c>
      <c r="V90" s="19"/>
    </row>
    <row r="91" spans="1:23" x14ac:dyDescent="0.3">
      <c r="B91" s="62" t="s">
        <v>452</v>
      </c>
      <c r="C91" s="13" t="s">
        <v>17</v>
      </c>
      <c r="D91" s="65"/>
      <c r="E91" s="65"/>
      <c r="F91" s="65"/>
      <c r="G91" s="64">
        <v>6</v>
      </c>
      <c r="H91" s="15">
        <v>180</v>
      </c>
      <c r="I91" s="15">
        <v>60</v>
      </c>
      <c r="J91" s="3">
        <v>1</v>
      </c>
      <c r="K91" s="15">
        <f t="shared" si="8"/>
        <v>30</v>
      </c>
      <c r="L91" s="17">
        <v>1</v>
      </c>
      <c r="M91" s="15">
        <f t="shared" si="9"/>
        <v>1</v>
      </c>
      <c r="N91" s="15">
        <f t="shared" si="10"/>
        <v>30</v>
      </c>
      <c r="O91" s="3">
        <v>1</v>
      </c>
      <c r="P91" s="15">
        <f t="shared" si="11"/>
        <v>30</v>
      </c>
      <c r="Q91" s="17">
        <v>2</v>
      </c>
      <c r="R91" s="15">
        <f t="shared" si="12"/>
        <v>2</v>
      </c>
      <c r="S91" s="15">
        <f t="shared" si="13"/>
        <v>60</v>
      </c>
      <c r="T91" s="4">
        <f t="shared" si="14"/>
        <v>3</v>
      </c>
      <c r="U91" s="3">
        <f t="shared" si="15"/>
        <v>90</v>
      </c>
      <c r="V91" s="19"/>
    </row>
    <row r="92" spans="1:23" x14ac:dyDescent="0.3">
      <c r="B92" s="63"/>
      <c r="C92" s="13" t="s">
        <v>18</v>
      </c>
      <c r="D92" s="65"/>
      <c r="E92" s="65"/>
      <c r="F92" s="65"/>
      <c r="G92" s="66"/>
      <c r="H92" s="15">
        <v>180</v>
      </c>
      <c r="I92" s="15">
        <v>60</v>
      </c>
      <c r="J92" s="3">
        <v>1</v>
      </c>
      <c r="K92" s="15">
        <f t="shared" si="8"/>
        <v>30</v>
      </c>
      <c r="L92" s="17">
        <v>1</v>
      </c>
      <c r="M92" s="15">
        <f t="shared" si="9"/>
        <v>1</v>
      </c>
      <c r="N92" s="15">
        <f t="shared" si="10"/>
        <v>30</v>
      </c>
      <c r="O92" s="3">
        <v>1</v>
      </c>
      <c r="P92" s="15">
        <f t="shared" si="11"/>
        <v>30</v>
      </c>
      <c r="Q92" s="17">
        <v>1</v>
      </c>
      <c r="R92" s="15">
        <f t="shared" si="12"/>
        <v>1</v>
      </c>
      <c r="S92" s="15">
        <f t="shared" si="13"/>
        <v>30</v>
      </c>
      <c r="T92" s="4">
        <f t="shared" si="14"/>
        <v>2</v>
      </c>
      <c r="U92" s="3">
        <f t="shared" si="15"/>
        <v>60</v>
      </c>
      <c r="V92" s="19"/>
    </row>
    <row r="93" spans="1:23" x14ac:dyDescent="0.3">
      <c r="B93" s="62" t="s">
        <v>453</v>
      </c>
      <c r="C93" s="13" t="s">
        <v>17</v>
      </c>
      <c r="D93" s="65"/>
      <c r="E93" s="65"/>
      <c r="F93" s="65"/>
      <c r="G93" s="64">
        <v>6</v>
      </c>
      <c r="H93" s="15">
        <v>180</v>
      </c>
      <c r="I93" s="15">
        <v>60</v>
      </c>
      <c r="J93" s="3">
        <v>1</v>
      </c>
      <c r="K93" s="15">
        <f t="shared" si="8"/>
        <v>30</v>
      </c>
      <c r="L93" s="17">
        <v>1</v>
      </c>
      <c r="M93" s="15">
        <f t="shared" si="9"/>
        <v>1</v>
      </c>
      <c r="N93" s="15">
        <f t="shared" si="10"/>
        <v>30</v>
      </c>
      <c r="O93" s="3">
        <v>1</v>
      </c>
      <c r="P93" s="15">
        <f t="shared" si="11"/>
        <v>30</v>
      </c>
      <c r="Q93" s="17">
        <v>2</v>
      </c>
      <c r="R93" s="15">
        <f t="shared" si="12"/>
        <v>2</v>
      </c>
      <c r="S93" s="15">
        <f t="shared" si="13"/>
        <v>60</v>
      </c>
      <c r="T93" s="4">
        <f t="shared" si="14"/>
        <v>3</v>
      </c>
      <c r="U93" s="3">
        <f t="shared" si="15"/>
        <v>90</v>
      </c>
      <c r="V93" s="19"/>
    </row>
    <row r="94" spans="1:23" x14ac:dyDescent="0.3">
      <c r="B94" s="63"/>
      <c r="C94" s="13" t="s">
        <v>18</v>
      </c>
      <c r="D94" s="65"/>
      <c r="E94" s="65"/>
      <c r="F94" s="65"/>
      <c r="G94" s="66"/>
      <c r="H94" s="15">
        <v>180</v>
      </c>
      <c r="I94" s="15">
        <v>60</v>
      </c>
      <c r="J94" s="3">
        <v>1</v>
      </c>
      <c r="K94" s="15">
        <f t="shared" si="8"/>
        <v>30</v>
      </c>
      <c r="L94" s="17">
        <v>1</v>
      </c>
      <c r="M94" s="15">
        <f t="shared" si="9"/>
        <v>1</v>
      </c>
      <c r="N94" s="15">
        <f t="shared" si="10"/>
        <v>30</v>
      </c>
      <c r="O94" s="3">
        <v>1</v>
      </c>
      <c r="P94" s="15">
        <f t="shared" si="11"/>
        <v>30</v>
      </c>
      <c r="Q94" s="17">
        <v>1</v>
      </c>
      <c r="R94" s="15">
        <f t="shared" si="12"/>
        <v>1</v>
      </c>
      <c r="S94" s="15">
        <f t="shared" si="13"/>
        <v>30</v>
      </c>
      <c r="T94" s="4">
        <f t="shared" si="14"/>
        <v>2</v>
      </c>
      <c r="U94" s="3">
        <f t="shared" si="15"/>
        <v>60</v>
      </c>
      <c r="V94" s="19"/>
    </row>
    <row r="95" spans="1:23" x14ac:dyDescent="0.3">
      <c r="B95" s="62" t="s">
        <v>454</v>
      </c>
      <c r="C95" s="13" t="s">
        <v>17</v>
      </c>
      <c r="D95" s="65"/>
      <c r="E95" s="65"/>
      <c r="F95" s="65"/>
      <c r="G95" s="64">
        <v>6</v>
      </c>
      <c r="H95" s="15">
        <v>180</v>
      </c>
      <c r="I95" s="15">
        <v>60</v>
      </c>
      <c r="J95" s="3">
        <v>1</v>
      </c>
      <c r="K95" s="15">
        <f t="shared" si="8"/>
        <v>30</v>
      </c>
      <c r="L95" s="17">
        <v>1</v>
      </c>
      <c r="M95" s="15">
        <f t="shared" si="9"/>
        <v>1</v>
      </c>
      <c r="N95" s="15">
        <f t="shared" si="10"/>
        <v>30</v>
      </c>
      <c r="O95" s="3">
        <v>1</v>
      </c>
      <c r="P95" s="15">
        <f t="shared" si="11"/>
        <v>30</v>
      </c>
      <c r="Q95" s="17">
        <v>2</v>
      </c>
      <c r="R95" s="15">
        <f t="shared" si="12"/>
        <v>2</v>
      </c>
      <c r="S95" s="15">
        <f t="shared" si="13"/>
        <v>60</v>
      </c>
      <c r="T95" s="4">
        <f t="shared" si="14"/>
        <v>3</v>
      </c>
      <c r="U95" s="3">
        <f t="shared" si="15"/>
        <v>90</v>
      </c>
      <c r="V95" s="19"/>
    </row>
    <row r="96" spans="1:23" x14ac:dyDescent="0.3">
      <c r="B96" s="63"/>
      <c r="C96" s="13" t="s">
        <v>18</v>
      </c>
      <c r="D96" s="66"/>
      <c r="E96" s="66"/>
      <c r="F96" s="66"/>
      <c r="G96" s="66"/>
      <c r="H96" s="15">
        <v>180</v>
      </c>
      <c r="I96" s="15">
        <v>60</v>
      </c>
      <c r="J96" s="3">
        <v>1</v>
      </c>
      <c r="K96" s="15">
        <f t="shared" si="8"/>
        <v>30</v>
      </c>
      <c r="L96" s="17">
        <v>1</v>
      </c>
      <c r="M96" s="15">
        <f t="shared" si="9"/>
        <v>1</v>
      </c>
      <c r="N96" s="15">
        <f t="shared" si="10"/>
        <v>30</v>
      </c>
      <c r="O96" s="3">
        <v>1</v>
      </c>
      <c r="P96" s="15">
        <f t="shared" si="11"/>
        <v>30</v>
      </c>
      <c r="Q96" s="17">
        <v>1</v>
      </c>
      <c r="R96" s="15">
        <f t="shared" si="12"/>
        <v>1</v>
      </c>
      <c r="S96" s="15">
        <f t="shared" si="13"/>
        <v>30</v>
      </c>
      <c r="T96" s="4">
        <f t="shared" si="14"/>
        <v>2</v>
      </c>
      <c r="U96" s="3">
        <f t="shared" si="15"/>
        <v>60</v>
      </c>
      <c r="V96" s="19"/>
    </row>
    <row r="97" spans="1:22" x14ac:dyDescent="0.3">
      <c r="B97" s="62" t="s">
        <v>455</v>
      </c>
      <c r="C97" s="13" t="s">
        <v>17</v>
      </c>
      <c r="D97" s="64">
        <v>83</v>
      </c>
      <c r="E97" s="64">
        <v>9</v>
      </c>
      <c r="F97" s="64" t="s">
        <v>25</v>
      </c>
      <c r="G97" s="64">
        <v>5</v>
      </c>
      <c r="H97" s="15">
        <v>150</v>
      </c>
      <c r="I97" s="15">
        <v>45</v>
      </c>
      <c r="J97" s="3">
        <v>0.5</v>
      </c>
      <c r="K97" s="15">
        <f t="shared" si="8"/>
        <v>15</v>
      </c>
      <c r="L97" s="17">
        <v>1</v>
      </c>
      <c r="M97" s="15">
        <f t="shared" si="9"/>
        <v>0.5</v>
      </c>
      <c r="N97" s="15">
        <f t="shared" si="10"/>
        <v>15</v>
      </c>
      <c r="O97" s="3">
        <v>1</v>
      </c>
      <c r="P97" s="15">
        <f t="shared" si="11"/>
        <v>30</v>
      </c>
      <c r="Q97" s="17">
        <v>5</v>
      </c>
      <c r="R97" s="15">
        <f t="shared" si="12"/>
        <v>5</v>
      </c>
      <c r="S97" s="15">
        <f t="shared" si="13"/>
        <v>150</v>
      </c>
      <c r="T97" s="4">
        <f t="shared" si="14"/>
        <v>5.5</v>
      </c>
      <c r="U97" s="3">
        <f t="shared" si="15"/>
        <v>165</v>
      </c>
      <c r="V97" s="19"/>
    </row>
    <row r="98" spans="1:22" x14ac:dyDescent="0.3">
      <c r="B98" s="63"/>
      <c r="C98" s="13" t="s">
        <v>18</v>
      </c>
      <c r="D98" s="65"/>
      <c r="E98" s="65"/>
      <c r="F98" s="65"/>
      <c r="G98" s="66"/>
      <c r="H98" s="15">
        <v>150</v>
      </c>
      <c r="I98" s="15">
        <v>45</v>
      </c>
      <c r="J98" s="3">
        <v>0.5</v>
      </c>
      <c r="K98" s="15">
        <f t="shared" si="8"/>
        <v>15</v>
      </c>
      <c r="L98" s="17">
        <v>1</v>
      </c>
      <c r="M98" s="15">
        <f t="shared" si="9"/>
        <v>0.5</v>
      </c>
      <c r="N98" s="15">
        <f t="shared" si="10"/>
        <v>15</v>
      </c>
      <c r="O98" s="3">
        <v>1</v>
      </c>
      <c r="P98" s="15">
        <f t="shared" si="11"/>
        <v>30</v>
      </c>
      <c r="Q98" s="17">
        <v>1</v>
      </c>
      <c r="R98" s="15">
        <f t="shared" si="12"/>
        <v>1</v>
      </c>
      <c r="S98" s="15">
        <f t="shared" si="13"/>
        <v>30</v>
      </c>
      <c r="T98" s="4">
        <f t="shared" si="14"/>
        <v>1.5</v>
      </c>
      <c r="U98" s="3">
        <f t="shared" si="15"/>
        <v>45</v>
      </c>
      <c r="V98" s="19"/>
    </row>
    <row r="99" spans="1:22" x14ac:dyDescent="0.35">
      <c r="A99" s="8"/>
      <c r="B99" s="62" t="s">
        <v>456</v>
      </c>
      <c r="C99" s="13" t="s">
        <v>17</v>
      </c>
      <c r="D99" s="65"/>
      <c r="E99" s="65"/>
      <c r="F99" s="65"/>
      <c r="G99" s="87">
        <v>5</v>
      </c>
      <c r="H99" s="15">
        <v>150</v>
      </c>
      <c r="I99" s="15">
        <v>45</v>
      </c>
      <c r="J99" s="3">
        <v>0.5</v>
      </c>
      <c r="K99" s="15">
        <f t="shared" si="8"/>
        <v>15</v>
      </c>
      <c r="L99" s="17">
        <v>1</v>
      </c>
      <c r="M99" s="15">
        <f t="shared" si="9"/>
        <v>0.5</v>
      </c>
      <c r="N99" s="15">
        <f t="shared" si="10"/>
        <v>15</v>
      </c>
      <c r="O99" s="3">
        <v>1</v>
      </c>
      <c r="P99" s="15">
        <f t="shared" si="11"/>
        <v>30</v>
      </c>
      <c r="Q99" s="17">
        <v>5</v>
      </c>
      <c r="R99" s="15">
        <f t="shared" si="12"/>
        <v>5</v>
      </c>
      <c r="S99" s="15">
        <f t="shared" si="13"/>
        <v>150</v>
      </c>
      <c r="T99" s="4">
        <f t="shared" si="14"/>
        <v>5.5</v>
      </c>
      <c r="U99" s="3">
        <f t="shared" si="15"/>
        <v>165</v>
      </c>
      <c r="V99" s="10"/>
    </row>
    <row r="100" spans="1:22" x14ac:dyDescent="0.35">
      <c r="A100" s="8"/>
      <c r="B100" s="63"/>
      <c r="C100" s="13" t="s">
        <v>18</v>
      </c>
      <c r="D100" s="65"/>
      <c r="E100" s="65"/>
      <c r="F100" s="65"/>
      <c r="G100" s="88"/>
      <c r="H100" s="15">
        <v>150</v>
      </c>
      <c r="I100" s="15">
        <v>45</v>
      </c>
      <c r="J100" s="3">
        <v>0.5</v>
      </c>
      <c r="K100" s="15">
        <f t="shared" si="8"/>
        <v>15</v>
      </c>
      <c r="L100" s="17">
        <v>1</v>
      </c>
      <c r="M100" s="15">
        <f t="shared" si="9"/>
        <v>0.5</v>
      </c>
      <c r="N100" s="15">
        <f t="shared" si="10"/>
        <v>15</v>
      </c>
      <c r="O100" s="3">
        <v>1</v>
      </c>
      <c r="P100" s="15">
        <f t="shared" si="11"/>
        <v>30</v>
      </c>
      <c r="Q100" s="17">
        <v>1</v>
      </c>
      <c r="R100" s="15">
        <f t="shared" si="12"/>
        <v>1</v>
      </c>
      <c r="S100" s="15">
        <f t="shared" si="13"/>
        <v>30</v>
      </c>
      <c r="T100" s="4">
        <f t="shared" si="14"/>
        <v>1.5</v>
      </c>
      <c r="U100" s="3">
        <f t="shared" si="15"/>
        <v>45</v>
      </c>
      <c r="V100" s="20"/>
    </row>
    <row r="101" spans="1:22" x14ac:dyDescent="0.35">
      <c r="A101" s="8"/>
      <c r="B101" s="62" t="s">
        <v>457</v>
      </c>
      <c r="C101" s="13" t="s">
        <v>17</v>
      </c>
      <c r="D101" s="65"/>
      <c r="E101" s="65"/>
      <c r="F101" s="65"/>
      <c r="G101" s="87">
        <v>5</v>
      </c>
      <c r="H101" s="15">
        <v>150</v>
      </c>
      <c r="I101" s="15">
        <v>45</v>
      </c>
      <c r="J101" s="3">
        <v>0.5</v>
      </c>
      <c r="K101" s="15">
        <f t="shared" si="8"/>
        <v>15</v>
      </c>
      <c r="L101" s="17">
        <v>1</v>
      </c>
      <c r="M101" s="15">
        <f t="shared" si="9"/>
        <v>0.5</v>
      </c>
      <c r="N101" s="15">
        <f t="shared" si="10"/>
        <v>15</v>
      </c>
      <c r="O101" s="3">
        <v>1</v>
      </c>
      <c r="P101" s="15">
        <f t="shared" si="11"/>
        <v>30</v>
      </c>
      <c r="Q101" s="17">
        <v>5</v>
      </c>
      <c r="R101" s="15">
        <f t="shared" si="12"/>
        <v>5</v>
      </c>
      <c r="S101" s="15">
        <f t="shared" si="13"/>
        <v>150</v>
      </c>
      <c r="T101" s="4">
        <f t="shared" si="14"/>
        <v>5.5</v>
      </c>
      <c r="U101" s="3">
        <f t="shared" si="15"/>
        <v>165</v>
      </c>
      <c r="V101" s="10"/>
    </row>
    <row r="102" spans="1:22" x14ac:dyDescent="0.35">
      <c r="A102" s="8"/>
      <c r="B102" s="63"/>
      <c r="C102" s="13" t="s">
        <v>18</v>
      </c>
      <c r="D102" s="65"/>
      <c r="E102" s="65"/>
      <c r="F102" s="65"/>
      <c r="G102" s="88"/>
      <c r="H102" s="15">
        <v>150</v>
      </c>
      <c r="I102" s="15">
        <v>45</v>
      </c>
      <c r="J102" s="3">
        <v>0.5</v>
      </c>
      <c r="K102" s="15">
        <f t="shared" si="8"/>
        <v>15</v>
      </c>
      <c r="L102" s="17">
        <v>1</v>
      </c>
      <c r="M102" s="15">
        <f t="shared" si="9"/>
        <v>0.5</v>
      </c>
      <c r="N102" s="15">
        <f t="shared" si="10"/>
        <v>15</v>
      </c>
      <c r="O102" s="3">
        <v>1</v>
      </c>
      <c r="P102" s="15">
        <f t="shared" si="11"/>
        <v>30</v>
      </c>
      <c r="Q102" s="17">
        <v>1</v>
      </c>
      <c r="R102" s="15">
        <f t="shared" si="12"/>
        <v>1</v>
      </c>
      <c r="S102" s="15">
        <f t="shared" si="13"/>
        <v>30</v>
      </c>
      <c r="T102" s="4">
        <f t="shared" si="14"/>
        <v>1.5</v>
      </c>
      <c r="U102" s="3">
        <f t="shared" si="15"/>
        <v>45</v>
      </c>
      <c r="V102" s="20"/>
    </row>
    <row r="103" spans="1:22" x14ac:dyDescent="0.3">
      <c r="A103" s="7"/>
      <c r="B103" s="62" t="s">
        <v>458</v>
      </c>
      <c r="C103" s="13" t="s">
        <v>17</v>
      </c>
      <c r="D103" s="65"/>
      <c r="E103" s="65"/>
      <c r="F103" s="65"/>
      <c r="G103" s="64">
        <v>5</v>
      </c>
      <c r="H103" s="15">
        <v>150</v>
      </c>
      <c r="I103" s="15">
        <v>45</v>
      </c>
      <c r="J103" s="3">
        <v>0.5</v>
      </c>
      <c r="K103" s="15">
        <f t="shared" si="8"/>
        <v>15</v>
      </c>
      <c r="L103" s="17">
        <v>1</v>
      </c>
      <c r="M103" s="15">
        <f t="shared" si="9"/>
        <v>0.5</v>
      </c>
      <c r="N103" s="15">
        <f t="shared" si="10"/>
        <v>15</v>
      </c>
      <c r="O103" s="3">
        <v>1</v>
      </c>
      <c r="P103" s="15">
        <f t="shared" si="11"/>
        <v>30</v>
      </c>
      <c r="Q103" s="17">
        <v>5</v>
      </c>
      <c r="R103" s="15">
        <f t="shared" si="12"/>
        <v>5</v>
      </c>
      <c r="S103" s="15">
        <f t="shared" si="13"/>
        <v>150</v>
      </c>
      <c r="T103" s="4">
        <f t="shared" si="14"/>
        <v>5.5</v>
      </c>
      <c r="U103" s="3">
        <f t="shared" si="15"/>
        <v>165</v>
      </c>
      <c r="V103" s="19"/>
    </row>
    <row r="104" spans="1:22" x14ac:dyDescent="0.3">
      <c r="A104" s="7"/>
      <c r="B104" s="63"/>
      <c r="C104" s="13" t="s">
        <v>18</v>
      </c>
      <c r="D104" s="65"/>
      <c r="E104" s="65"/>
      <c r="F104" s="65"/>
      <c r="G104" s="66"/>
      <c r="H104" s="15">
        <v>150</v>
      </c>
      <c r="I104" s="15">
        <v>45</v>
      </c>
      <c r="J104" s="3">
        <v>0.5</v>
      </c>
      <c r="K104" s="15">
        <f t="shared" si="8"/>
        <v>15</v>
      </c>
      <c r="L104" s="17">
        <v>1</v>
      </c>
      <c r="M104" s="15">
        <f t="shared" si="9"/>
        <v>0.5</v>
      </c>
      <c r="N104" s="15">
        <f t="shared" si="10"/>
        <v>15</v>
      </c>
      <c r="O104" s="3">
        <v>1</v>
      </c>
      <c r="P104" s="15">
        <f t="shared" si="11"/>
        <v>30</v>
      </c>
      <c r="Q104" s="17">
        <v>1</v>
      </c>
      <c r="R104" s="15">
        <f t="shared" si="12"/>
        <v>1</v>
      </c>
      <c r="S104" s="15">
        <f t="shared" si="13"/>
        <v>30</v>
      </c>
      <c r="T104" s="4">
        <f t="shared" si="14"/>
        <v>1.5</v>
      </c>
      <c r="U104" s="3">
        <f t="shared" si="15"/>
        <v>45</v>
      </c>
      <c r="V104" s="19"/>
    </row>
    <row r="105" spans="1:22" x14ac:dyDescent="0.3">
      <c r="A105" s="7"/>
      <c r="B105" s="62" t="s">
        <v>459</v>
      </c>
      <c r="C105" s="13" t="s">
        <v>17</v>
      </c>
      <c r="D105" s="65"/>
      <c r="E105" s="65"/>
      <c r="F105" s="65"/>
      <c r="G105" s="64">
        <v>5</v>
      </c>
      <c r="H105" s="15">
        <v>150</v>
      </c>
      <c r="I105" s="15">
        <v>45</v>
      </c>
      <c r="J105" s="3">
        <v>0.5</v>
      </c>
      <c r="K105" s="15">
        <f t="shared" si="8"/>
        <v>15</v>
      </c>
      <c r="L105" s="17">
        <v>1</v>
      </c>
      <c r="M105" s="15">
        <f t="shared" si="9"/>
        <v>0.5</v>
      </c>
      <c r="N105" s="15">
        <f t="shared" si="10"/>
        <v>15</v>
      </c>
      <c r="O105" s="3">
        <v>1</v>
      </c>
      <c r="P105" s="15">
        <f t="shared" si="11"/>
        <v>30</v>
      </c>
      <c r="Q105" s="17">
        <v>5</v>
      </c>
      <c r="R105" s="15">
        <f t="shared" si="12"/>
        <v>5</v>
      </c>
      <c r="S105" s="15">
        <f t="shared" si="13"/>
        <v>150</v>
      </c>
      <c r="T105" s="4">
        <f t="shared" si="14"/>
        <v>5.5</v>
      </c>
      <c r="U105" s="3">
        <f t="shared" si="15"/>
        <v>165</v>
      </c>
      <c r="V105" s="19"/>
    </row>
    <row r="106" spans="1:22" x14ac:dyDescent="0.3">
      <c r="A106" s="7"/>
      <c r="B106" s="63"/>
      <c r="C106" s="13" t="s">
        <v>18</v>
      </c>
      <c r="D106" s="65"/>
      <c r="E106" s="65"/>
      <c r="F106" s="65"/>
      <c r="G106" s="66"/>
      <c r="H106" s="15">
        <v>150</v>
      </c>
      <c r="I106" s="15">
        <v>45</v>
      </c>
      <c r="J106" s="3">
        <v>0.5</v>
      </c>
      <c r="K106" s="15">
        <f t="shared" si="8"/>
        <v>15</v>
      </c>
      <c r="L106" s="17">
        <v>1</v>
      </c>
      <c r="M106" s="15">
        <f t="shared" si="9"/>
        <v>0.5</v>
      </c>
      <c r="N106" s="15">
        <f t="shared" si="10"/>
        <v>15</v>
      </c>
      <c r="O106" s="3">
        <v>1</v>
      </c>
      <c r="P106" s="15">
        <f t="shared" si="11"/>
        <v>30</v>
      </c>
      <c r="Q106" s="17">
        <v>1</v>
      </c>
      <c r="R106" s="15">
        <f t="shared" si="12"/>
        <v>1</v>
      </c>
      <c r="S106" s="15">
        <f t="shared" si="13"/>
        <v>30</v>
      </c>
      <c r="T106" s="4">
        <f t="shared" si="14"/>
        <v>1.5</v>
      </c>
      <c r="U106" s="3">
        <f t="shared" si="15"/>
        <v>45</v>
      </c>
      <c r="V106" s="19"/>
    </row>
    <row r="107" spans="1:22" ht="27" customHeight="1" x14ac:dyDescent="0.3">
      <c r="A107" s="7"/>
      <c r="B107" s="62" t="s">
        <v>460</v>
      </c>
      <c r="C107" s="13" t="s">
        <v>17</v>
      </c>
      <c r="D107" s="65"/>
      <c r="E107" s="65"/>
      <c r="F107" s="65"/>
      <c r="G107" s="64">
        <v>5</v>
      </c>
      <c r="H107" s="15">
        <v>150</v>
      </c>
      <c r="I107" s="15">
        <v>45</v>
      </c>
      <c r="J107" s="3">
        <v>0.5</v>
      </c>
      <c r="K107" s="15">
        <f t="shared" si="8"/>
        <v>15</v>
      </c>
      <c r="L107" s="17">
        <v>1</v>
      </c>
      <c r="M107" s="15">
        <f t="shared" si="9"/>
        <v>0.5</v>
      </c>
      <c r="N107" s="15">
        <f t="shared" si="10"/>
        <v>15</v>
      </c>
      <c r="O107" s="3">
        <v>1</v>
      </c>
      <c r="P107" s="15">
        <f t="shared" si="11"/>
        <v>30</v>
      </c>
      <c r="Q107" s="17">
        <v>5</v>
      </c>
      <c r="R107" s="15">
        <f t="shared" si="12"/>
        <v>5</v>
      </c>
      <c r="S107" s="15">
        <f t="shared" si="13"/>
        <v>150</v>
      </c>
      <c r="T107" s="4">
        <f t="shared" si="14"/>
        <v>5.5</v>
      </c>
      <c r="U107" s="3">
        <f t="shared" si="15"/>
        <v>165</v>
      </c>
      <c r="V107" s="19"/>
    </row>
    <row r="108" spans="1:22" ht="27" customHeight="1" x14ac:dyDescent="0.3">
      <c r="A108" s="7"/>
      <c r="B108" s="63"/>
      <c r="C108" s="13" t="s">
        <v>18</v>
      </c>
      <c r="D108" s="66"/>
      <c r="E108" s="66"/>
      <c r="F108" s="66"/>
      <c r="G108" s="66"/>
      <c r="H108" s="15">
        <v>150</v>
      </c>
      <c r="I108" s="15">
        <v>45</v>
      </c>
      <c r="J108" s="3">
        <v>0.5</v>
      </c>
      <c r="K108" s="15">
        <f t="shared" si="8"/>
        <v>15</v>
      </c>
      <c r="L108" s="17">
        <v>1</v>
      </c>
      <c r="M108" s="15">
        <f t="shared" si="9"/>
        <v>0.5</v>
      </c>
      <c r="N108" s="15">
        <f t="shared" si="10"/>
        <v>15</v>
      </c>
      <c r="O108" s="3">
        <v>1</v>
      </c>
      <c r="P108" s="15">
        <f t="shared" si="11"/>
        <v>30</v>
      </c>
      <c r="Q108" s="38">
        <v>1</v>
      </c>
      <c r="R108" s="15">
        <f t="shared" si="12"/>
        <v>1</v>
      </c>
      <c r="S108" s="15">
        <f t="shared" si="13"/>
        <v>30</v>
      </c>
      <c r="T108" s="4">
        <f t="shared" si="14"/>
        <v>1.5</v>
      </c>
      <c r="U108" s="3">
        <f t="shared" si="15"/>
        <v>45</v>
      </c>
      <c r="V108" s="19"/>
    </row>
    <row r="109" spans="1:22" x14ac:dyDescent="0.3">
      <c r="A109" s="7"/>
      <c r="B109" s="62" t="s">
        <v>461</v>
      </c>
      <c r="C109" s="13" t="s">
        <v>17</v>
      </c>
      <c r="D109" s="64">
        <v>30</v>
      </c>
      <c r="E109" s="64">
        <v>5</v>
      </c>
      <c r="F109" s="64" t="s">
        <v>26</v>
      </c>
      <c r="G109" s="64">
        <v>5</v>
      </c>
      <c r="H109" s="15">
        <v>150</v>
      </c>
      <c r="I109" s="15">
        <v>45</v>
      </c>
      <c r="J109" s="3">
        <v>0.5</v>
      </c>
      <c r="K109" s="15">
        <f t="shared" si="8"/>
        <v>15</v>
      </c>
      <c r="L109" s="17">
        <v>1</v>
      </c>
      <c r="M109" s="15">
        <f t="shared" si="9"/>
        <v>0.5</v>
      </c>
      <c r="N109" s="15">
        <f t="shared" si="10"/>
        <v>15</v>
      </c>
      <c r="O109" s="3">
        <v>1</v>
      </c>
      <c r="P109" s="15">
        <f t="shared" si="11"/>
        <v>30</v>
      </c>
      <c r="Q109" s="38">
        <v>2</v>
      </c>
      <c r="R109" s="15">
        <f t="shared" si="12"/>
        <v>2</v>
      </c>
      <c r="S109" s="15">
        <f t="shared" si="13"/>
        <v>60</v>
      </c>
      <c r="T109" s="4">
        <f t="shared" si="14"/>
        <v>2.5</v>
      </c>
      <c r="U109" s="3">
        <f t="shared" si="15"/>
        <v>75</v>
      </c>
      <c r="V109" s="19"/>
    </row>
    <row r="110" spans="1:22" x14ac:dyDescent="0.3">
      <c r="A110" s="7"/>
      <c r="B110" s="63"/>
      <c r="C110" s="13" t="s">
        <v>18</v>
      </c>
      <c r="D110" s="65"/>
      <c r="E110" s="65"/>
      <c r="F110" s="65"/>
      <c r="G110" s="66"/>
      <c r="H110" s="15">
        <v>150</v>
      </c>
      <c r="I110" s="15">
        <v>45</v>
      </c>
      <c r="J110" s="3">
        <v>0.5</v>
      </c>
      <c r="K110" s="15">
        <f t="shared" si="8"/>
        <v>15</v>
      </c>
      <c r="L110" s="17">
        <v>1</v>
      </c>
      <c r="M110" s="15">
        <f t="shared" si="9"/>
        <v>0.5</v>
      </c>
      <c r="N110" s="15">
        <f t="shared" si="10"/>
        <v>15</v>
      </c>
      <c r="O110" s="3">
        <v>1</v>
      </c>
      <c r="P110" s="15">
        <f t="shared" si="11"/>
        <v>30</v>
      </c>
      <c r="Q110" s="38">
        <v>1</v>
      </c>
      <c r="R110" s="15">
        <f t="shared" si="12"/>
        <v>1</v>
      </c>
      <c r="S110" s="15">
        <f t="shared" si="13"/>
        <v>30</v>
      </c>
      <c r="T110" s="4">
        <f t="shared" si="14"/>
        <v>1.5</v>
      </c>
      <c r="U110" s="3">
        <f t="shared" si="15"/>
        <v>45</v>
      </c>
      <c r="V110" s="19"/>
    </row>
    <row r="111" spans="1:22" x14ac:dyDescent="0.3">
      <c r="A111" s="7"/>
      <c r="B111" s="62" t="s">
        <v>462</v>
      </c>
      <c r="C111" s="13" t="s">
        <v>17</v>
      </c>
      <c r="D111" s="65"/>
      <c r="E111" s="65"/>
      <c r="F111" s="65"/>
      <c r="G111" s="64">
        <v>5</v>
      </c>
      <c r="H111" s="15">
        <v>150</v>
      </c>
      <c r="I111" s="15">
        <v>45</v>
      </c>
      <c r="J111" s="3">
        <v>0.5</v>
      </c>
      <c r="K111" s="15">
        <f t="shared" si="8"/>
        <v>15</v>
      </c>
      <c r="L111" s="17">
        <v>1</v>
      </c>
      <c r="M111" s="15">
        <f t="shared" si="9"/>
        <v>0.5</v>
      </c>
      <c r="N111" s="15">
        <f t="shared" si="10"/>
        <v>15</v>
      </c>
      <c r="O111" s="3">
        <v>1</v>
      </c>
      <c r="P111" s="15">
        <f t="shared" si="11"/>
        <v>30</v>
      </c>
      <c r="Q111" s="38">
        <v>2</v>
      </c>
      <c r="R111" s="15">
        <f t="shared" si="12"/>
        <v>2</v>
      </c>
      <c r="S111" s="15">
        <f t="shared" si="13"/>
        <v>60</v>
      </c>
      <c r="T111" s="4">
        <f t="shared" si="14"/>
        <v>2.5</v>
      </c>
      <c r="U111" s="3">
        <f t="shared" si="15"/>
        <v>75</v>
      </c>
      <c r="V111" s="19"/>
    </row>
    <row r="112" spans="1:22" x14ac:dyDescent="0.3">
      <c r="A112" s="7"/>
      <c r="B112" s="63"/>
      <c r="C112" s="13" t="s">
        <v>18</v>
      </c>
      <c r="D112" s="65"/>
      <c r="E112" s="65"/>
      <c r="F112" s="65"/>
      <c r="G112" s="66"/>
      <c r="H112" s="15">
        <v>150</v>
      </c>
      <c r="I112" s="15">
        <v>45</v>
      </c>
      <c r="J112" s="3">
        <v>0.5</v>
      </c>
      <c r="K112" s="15">
        <f t="shared" si="8"/>
        <v>15</v>
      </c>
      <c r="L112" s="17">
        <v>1</v>
      </c>
      <c r="M112" s="15">
        <f t="shared" si="9"/>
        <v>0.5</v>
      </c>
      <c r="N112" s="15">
        <f t="shared" si="10"/>
        <v>15</v>
      </c>
      <c r="O112" s="3">
        <v>1</v>
      </c>
      <c r="P112" s="15">
        <f t="shared" si="11"/>
        <v>30</v>
      </c>
      <c r="Q112" s="38">
        <v>1</v>
      </c>
      <c r="R112" s="15">
        <f t="shared" si="12"/>
        <v>1</v>
      </c>
      <c r="S112" s="15">
        <f t="shared" si="13"/>
        <v>30</v>
      </c>
      <c r="T112" s="4">
        <f t="shared" si="14"/>
        <v>1.5</v>
      </c>
      <c r="U112" s="3">
        <f t="shared" si="15"/>
        <v>45</v>
      </c>
      <c r="V112" s="19"/>
    </row>
    <row r="113" spans="1:22" x14ac:dyDescent="0.3">
      <c r="A113" s="7"/>
      <c r="B113" s="62" t="s">
        <v>463</v>
      </c>
      <c r="C113" s="13" t="s">
        <v>17</v>
      </c>
      <c r="D113" s="65"/>
      <c r="E113" s="65"/>
      <c r="F113" s="65"/>
      <c r="G113" s="64">
        <v>5</v>
      </c>
      <c r="H113" s="15">
        <v>150</v>
      </c>
      <c r="I113" s="15">
        <v>45</v>
      </c>
      <c r="J113" s="3">
        <v>0.5</v>
      </c>
      <c r="K113" s="15">
        <f t="shared" si="8"/>
        <v>15</v>
      </c>
      <c r="L113" s="17">
        <v>1</v>
      </c>
      <c r="M113" s="15">
        <f t="shared" si="9"/>
        <v>0.5</v>
      </c>
      <c r="N113" s="15">
        <f t="shared" si="10"/>
        <v>15</v>
      </c>
      <c r="O113" s="3">
        <v>1</v>
      </c>
      <c r="P113" s="15">
        <f t="shared" si="11"/>
        <v>30</v>
      </c>
      <c r="Q113" s="38">
        <v>2</v>
      </c>
      <c r="R113" s="15">
        <f t="shared" si="12"/>
        <v>2</v>
      </c>
      <c r="S113" s="15">
        <f t="shared" si="13"/>
        <v>60</v>
      </c>
      <c r="T113" s="4">
        <f t="shared" si="14"/>
        <v>2.5</v>
      </c>
      <c r="U113" s="3">
        <f t="shared" si="15"/>
        <v>75</v>
      </c>
      <c r="V113" s="19"/>
    </row>
    <row r="114" spans="1:22" x14ac:dyDescent="0.3">
      <c r="A114" s="7"/>
      <c r="B114" s="63"/>
      <c r="C114" s="13" t="s">
        <v>18</v>
      </c>
      <c r="D114" s="65"/>
      <c r="E114" s="65"/>
      <c r="F114" s="65"/>
      <c r="G114" s="66"/>
      <c r="H114" s="15">
        <v>150</v>
      </c>
      <c r="I114" s="15">
        <v>45</v>
      </c>
      <c r="J114" s="3">
        <v>0.5</v>
      </c>
      <c r="K114" s="15">
        <f t="shared" si="8"/>
        <v>15</v>
      </c>
      <c r="L114" s="17">
        <v>1</v>
      </c>
      <c r="M114" s="15">
        <f t="shared" si="9"/>
        <v>0.5</v>
      </c>
      <c r="N114" s="15">
        <f t="shared" si="10"/>
        <v>15</v>
      </c>
      <c r="O114" s="3">
        <v>1</v>
      </c>
      <c r="P114" s="15">
        <f t="shared" si="11"/>
        <v>30</v>
      </c>
      <c r="Q114" s="38">
        <v>1</v>
      </c>
      <c r="R114" s="15">
        <f t="shared" si="12"/>
        <v>1</v>
      </c>
      <c r="S114" s="15">
        <f t="shared" si="13"/>
        <v>30</v>
      </c>
      <c r="T114" s="4">
        <f t="shared" si="14"/>
        <v>1.5</v>
      </c>
      <c r="U114" s="3">
        <f t="shared" si="15"/>
        <v>45</v>
      </c>
      <c r="V114" s="19"/>
    </row>
    <row r="115" spans="1:22" x14ac:dyDescent="0.3">
      <c r="A115" s="7"/>
      <c r="B115" s="62" t="s">
        <v>464</v>
      </c>
      <c r="C115" s="13" t="s">
        <v>17</v>
      </c>
      <c r="D115" s="65"/>
      <c r="E115" s="65"/>
      <c r="F115" s="65"/>
      <c r="G115" s="64">
        <v>5</v>
      </c>
      <c r="H115" s="15">
        <v>150</v>
      </c>
      <c r="I115" s="15">
        <v>45</v>
      </c>
      <c r="J115" s="3">
        <v>0.5</v>
      </c>
      <c r="K115" s="15">
        <f t="shared" si="8"/>
        <v>15</v>
      </c>
      <c r="L115" s="17">
        <v>1</v>
      </c>
      <c r="M115" s="15">
        <f t="shared" si="9"/>
        <v>0.5</v>
      </c>
      <c r="N115" s="15">
        <f t="shared" si="10"/>
        <v>15</v>
      </c>
      <c r="O115" s="3">
        <v>1</v>
      </c>
      <c r="P115" s="15">
        <f t="shared" si="11"/>
        <v>30</v>
      </c>
      <c r="Q115" s="38">
        <v>2</v>
      </c>
      <c r="R115" s="15">
        <f t="shared" si="12"/>
        <v>2</v>
      </c>
      <c r="S115" s="15">
        <f t="shared" si="13"/>
        <v>60</v>
      </c>
      <c r="T115" s="4">
        <f t="shared" si="14"/>
        <v>2.5</v>
      </c>
      <c r="U115" s="3">
        <f t="shared" si="15"/>
        <v>75</v>
      </c>
      <c r="V115" s="19"/>
    </row>
    <row r="116" spans="1:22" x14ac:dyDescent="0.3">
      <c r="A116" s="7"/>
      <c r="B116" s="63"/>
      <c r="C116" s="13" t="s">
        <v>18</v>
      </c>
      <c r="D116" s="65"/>
      <c r="E116" s="65"/>
      <c r="F116" s="65"/>
      <c r="G116" s="66"/>
      <c r="H116" s="15">
        <v>150</v>
      </c>
      <c r="I116" s="15">
        <v>45</v>
      </c>
      <c r="J116" s="3">
        <v>0.5</v>
      </c>
      <c r="K116" s="15">
        <f t="shared" si="8"/>
        <v>15</v>
      </c>
      <c r="L116" s="17">
        <v>1</v>
      </c>
      <c r="M116" s="15">
        <f t="shared" si="9"/>
        <v>0.5</v>
      </c>
      <c r="N116" s="15">
        <f t="shared" si="10"/>
        <v>15</v>
      </c>
      <c r="O116" s="3">
        <v>1</v>
      </c>
      <c r="P116" s="15">
        <f t="shared" si="11"/>
        <v>30</v>
      </c>
      <c r="Q116" s="38">
        <v>1</v>
      </c>
      <c r="R116" s="15">
        <f t="shared" si="12"/>
        <v>1</v>
      </c>
      <c r="S116" s="15">
        <f t="shared" si="13"/>
        <v>30</v>
      </c>
      <c r="T116" s="4">
        <f t="shared" si="14"/>
        <v>1.5</v>
      </c>
      <c r="U116" s="3">
        <f t="shared" si="15"/>
        <v>45</v>
      </c>
      <c r="V116" s="19"/>
    </row>
    <row r="117" spans="1:22" ht="37.950000000000003" customHeight="1" x14ac:dyDescent="0.3">
      <c r="A117" s="7"/>
      <c r="B117" s="62" t="s">
        <v>465</v>
      </c>
      <c r="C117" s="13" t="s">
        <v>17</v>
      </c>
      <c r="D117" s="65"/>
      <c r="E117" s="65"/>
      <c r="F117" s="65"/>
      <c r="G117" s="64">
        <v>5</v>
      </c>
      <c r="H117" s="15">
        <v>150</v>
      </c>
      <c r="I117" s="15">
        <v>45</v>
      </c>
      <c r="J117" s="3">
        <v>0.5</v>
      </c>
      <c r="K117" s="15">
        <f t="shared" si="8"/>
        <v>15</v>
      </c>
      <c r="L117" s="17">
        <v>1</v>
      </c>
      <c r="M117" s="15">
        <f t="shared" si="9"/>
        <v>0.5</v>
      </c>
      <c r="N117" s="15">
        <f t="shared" si="10"/>
        <v>15</v>
      </c>
      <c r="O117" s="3">
        <v>1</v>
      </c>
      <c r="P117" s="15">
        <f t="shared" si="11"/>
        <v>30</v>
      </c>
      <c r="Q117" s="38">
        <v>2</v>
      </c>
      <c r="R117" s="15">
        <f t="shared" si="12"/>
        <v>2</v>
      </c>
      <c r="S117" s="15">
        <f t="shared" si="13"/>
        <v>60</v>
      </c>
      <c r="T117" s="4">
        <f t="shared" si="14"/>
        <v>2.5</v>
      </c>
      <c r="U117" s="3">
        <f t="shared" si="15"/>
        <v>75</v>
      </c>
      <c r="V117" s="19"/>
    </row>
    <row r="118" spans="1:22" ht="40.950000000000003" customHeight="1" x14ac:dyDescent="0.3">
      <c r="A118" s="7"/>
      <c r="B118" s="63"/>
      <c r="C118" s="13" t="s">
        <v>18</v>
      </c>
      <c r="D118" s="65"/>
      <c r="E118" s="65"/>
      <c r="F118" s="65"/>
      <c r="G118" s="66"/>
      <c r="H118" s="15">
        <v>150</v>
      </c>
      <c r="I118" s="15">
        <v>45</v>
      </c>
      <c r="J118" s="3">
        <v>0.5</v>
      </c>
      <c r="K118" s="15">
        <f t="shared" si="8"/>
        <v>15</v>
      </c>
      <c r="L118" s="17">
        <v>1</v>
      </c>
      <c r="M118" s="15">
        <f t="shared" si="9"/>
        <v>0.5</v>
      </c>
      <c r="N118" s="15">
        <f t="shared" si="10"/>
        <v>15</v>
      </c>
      <c r="O118" s="3">
        <v>1</v>
      </c>
      <c r="P118" s="15">
        <f t="shared" si="11"/>
        <v>30</v>
      </c>
      <c r="Q118" s="38">
        <v>1</v>
      </c>
      <c r="R118" s="15">
        <f t="shared" si="12"/>
        <v>1</v>
      </c>
      <c r="S118" s="15">
        <f t="shared" si="13"/>
        <v>30</v>
      </c>
      <c r="T118" s="4">
        <f t="shared" si="14"/>
        <v>1.5</v>
      </c>
      <c r="U118" s="3">
        <f t="shared" si="15"/>
        <v>45</v>
      </c>
      <c r="V118" s="19"/>
    </row>
    <row r="119" spans="1:22" ht="28.95" customHeight="1" x14ac:dyDescent="0.3">
      <c r="B119" s="62" t="s">
        <v>466</v>
      </c>
      <c r="C119" s="13" t="s">
        <v>17</v>
      </c>
      <c r="D119" s="65"/>
      <c r="E119" s="65"/>
      <c r="F119" s="65"/>
      <c r="G119" s="64">
        <v>5</v>
      </c>
      <c r="H119" s="15">
        <v>150</v>
      </c>
      <c r="I119" s="15">
        <v>45</v>
      </c>
      <c r="J119" s="3">
        <v>0.5</v>
      </c>
      <c r="K119" s="15">
        <f t="shared" si="8"/>
        <v>15</v>
      </c>
      <c r="L119" s="17">
        <v>1</v>
      </c>
      <c r="M119" s="15">
        <f t="shared" si="9"/>
        <v>0.5</v>
      </c>
      <c r="N119" s="15">
        <f t="shared" si="10"/>
        <v>15</v>
      </c>
      <c r="O119" s="3">
        <v>1</v>
      </c>
      <c r="P119" s="15">
        <f t="shared" si="11"/>
        <v>30</v>
      </c>
      <c r="Q119" s="38">
        <v>2</v>
      </c>
      <c r="R119" s="15">
        <f t="shared" si="12"/>
        <v>2</v>
      </c>
      <c r="S119" s="15">
        <f t="shared" si="13"/>
        <v>60</v>
      </c>
      <c r="T119" s="4">
        <f t="shared" si="14"/>
        <v>2.5</v>
      </c>
      <c r="U119" s="3">
        <f t="shared" si="15"/>
        <v>75</v>
      </c>
      <c r="V119" s="19"/>
    </row>
    <row r="120" spans="1:22" ht="28.2" customHeight="1" x14ac:dyDescent="0.3">
      <c r="B120" s="63"/>
      <c r="C120" s="13" t="s">
        <v>18</v>
      </c>
      <c r="D120" s="66"/>
      <c r="E120" s="66"/>
      <c r="F120" s="66"/>
      <c r="G120" s="66"/>
      <c r="H120" s="15">
        <v>150</v>
      </c>
      <c r="I120" s="15">
        <v>45</v>
      </c>
      <c r="J120" s="3">
        <v>0.5</v>
      </c>
      <c r="K120" s="15">
        <f t="shared" si="8"/>
        <v>15</v>
      </c>
      <c r="L120" s="17">
        <v>1</v>
      </c>
      <c r="M120" s="15">
        <f t="shared" si="9"/>
        <v>0.5</v>
      </c>
      <c r="N120" s="15">
        <f t="shared" si="10"/>
        <v>15</v>
      </c>
      <c r="O120" s="3">
        <v>1</v>
      </c>
      <c r="P120" s="15">
        <f t="shared" si="11"/>
        <v>30</v>
      </c>
      <c r="Q120" s="38">
        <v>1</v>
      </c>
      <c r="R120" s="15">
        <f t="shared" si="12"/>
        <v>1</v>
      </c>
      <c r="S120" s="15">
        <f t="shared" si="13"/>
        <v>30</v>
      </c>
      <c r="T120" s="4">
        <f t="shared" si="14"/>
        <v>1.5</v>
      </c>
      <c r="U120" s="3">
        <f t="shared" si="15"/>
        <v>45</v>
      </c>
      <c r="V120" s="19"/>
    </row>
    <row r="121" spans="1:22" x14ac:dyDescent="0.3">
      <c r="B121" s="62" t="s">
        <v>27</v>
      </c>
      <c r="C121" s="13" t="s">
        <v>17</v>
      </c>
      <c r="D121" s="64">
        <v>54</v>
      </c>
      <c r="E121" s="64">
        <v>9</v>
      </c>
      <c r="F121" s="64" t="s">
        <v>472</v>
      </c>
      <c r="G121" s="64">
        <v>4</v>
      </c>
      <c r="H121" s="15">
        <v>120</v>
      </c>
      <c r="I121" s="15">
        <v>45</v>
      </c>
      <c r="J121" s="3">
        <v>0.5</v>
      </c>
      <c r="K121" s="15">
        <f t="shared" si="8"/>
        <v>15</v>
      </c>
      <c r="L121" s="17">
        <v>1</v>
      </c>
      <c r="M121" s="15">
        <f t="shared" si="9"/>
        <v>0.5</v>
      </c>
      <c r="N121" s="15">
        <f t="shared" si="10"/>
        <v>15</v>
      </c>
      <c r="O121" s="3">
        <v>1</v>
      </c>
      <c r="P121" s="15">
        <f t="shared" si="11"/>
        <v>30</v>
      </c>
      <c r="Q121" s="38">
        <v>2</v>
      </c>
      <c r="R121" s="15">
        <f t="shared" si="12"/>
        <v>2</v>
      </c>
      <c r="S121" s="15">
        <f t="shared" si="13"/>
        <v>60</v>
      </c>
      <c r="T121" s="4">
        <f t="shared" si="14"/>
        <v>2.5</v>
      </c>
      <c r="U121" s="3">
        <f t="shared" si="15"/>
        <v>75</v>
      </c>
      <c r="V121" s="19"/>
    </row>
    <row r="122" spans="1:22" x14ac:dyDescent="0.3">
      <c r="B122" s="63"/>
      <c r="C122" s="13" t="s">
        <v>18</v>
      </c>
      <c r="D122" s="65"/>
      <c r="E122" s="65"/>
      <c r="F122" s="65"/>
      <c r="G122" s="66"/>
      <c r="H122" s="15">
        <v>120</v>
      </c>
      <c r="I122" s="15">
        <v>45</v>
      </c>
      <c r="J122" s="3">
        <v>0.5</v>
      </c>
      <c r="K122" s="15">
        <f t="shared" si="8"/>
        <v>15</v>
      </c>
      <c r="L122" s="17">
        <v>1</v>
      </c>
      <c r="M122" s="15">
        <f t="shared" si="9"/>
        <v>0.5</v>
      </c>
      <c r="N122" s="15">
        <f t="shared" si="10"/>
        <v>15</v>
      </c>
      <c r="O122" s="3">
        <v>1</v>
      </c>
      <c r="P122" s="15">
        <f t="shared" si="11"/>
        <v>30</v>
      </c>
      <c r="Q122" s="35">
        <v>1</v>
      </c>
      <c r="R122" s="15">
        <f t="shared" si="12"/>
        <v>1</v>
      </c>
      <c r="S122" s="15">
        <f t="shared" si="13"/>
        <v>30</v>
      </c>
      <c r="T122" s="4">
        <f t="shared" si="14"/>
        <v>1.5</v>
      </c>
      <c r="U122" s="3">
        <f t="shared" si="15"/>
        <v>45</v>
      </c>
      <c r="V122" s="19"/>
    </row>
    <row r="123" spans="1:22" x14ac:dyDescent="0.3">
      <c r="B123" s="62" t="s">
        <v>467</v>
      </c>
      <c r="C123" s="13" t="s">
        <v>17</v>
      </c>
      <c r="D123" s="65"/>
      <c r="E123" s="65"/>
      <c r="F123" s="65"/>
      <c r="G123" s="64">
        <v>8</v>
      </c>
      <c r="H123" s="15">
        <v>240</v>
      </c>
      <c r="I123" s="15">
        <v>75</v>
      </c>
      <c r="J123" s="3">
        <v>1</v>
      </c>
      <c r="K123" s="15">
        <f t="shared" si="8"/>
        <v>30</v>
      </c>
      <c r="L123" s="17">
        <v>1</v>
      </c>
      <c r="M123" s="15">
        <f t="shared" si="9"/>
        <v>1</v>
      </c>
      <c r="N123" s="15">
        <f t="shared" si="10"/>
        <v>30</v>
      </c>
      <c r="O123" s="3">
        <v>1.5</v>
      </c>
      <c r="P123" s="15">
        <f t="shared" si="11"/>
        <v>45</v>
      </c>
      <c r="Q123" s="35">
        <v>2</v>
      </c>
      <c r="R123" s="15">
        <f t="shared" si="12"/>
        <v>3</v>
      </c>
      <c r="S123" s="15">
        <f t="shared" si="13"/>
        <v>90</v>
      </c>
      <c r="T123" s="4">
        <f t="shared" si="14"/>
        <v>4</v>
      </c>
      <c r="U123" s="3">
        <f t="shared" si="15"/>
        <v>120</v>
      </c>
      <c r="V123" s="19"/>
    </row>
    <row r="124" spans="1:22" x14ac:dyDescent="0.3">
      <c r="B124" s="63"/>
      <c r="C124" s="13" t="s">
        <v>18</v>
      </c>
      <c r="D124" s="65"/>
      <c r="E124" s="65"/>
      <c r="F124" s="65"/>
      <c r="G124" s="66"/>
      <c r="H124" s="15">
        <v>240</v>
      </c>
      <c r="I124" s="15">
        <v>75</v>
      </c>
      <c r="J124" s="3">
        <v>1</v>
      </c>
      <c r="K124" s="15">
        <f t="shared" si="8"/>
        <v>30</v>
      </c>
      <c r="L124" s="17">
        <v>1</v>
      </c>
      <c r="M124" s="15">
        <f t="shared" si="9"/>
        <v>1</v>
      </c>
      <c r="N124" s="15">
        <f t="shared" si="10"/>
        <v>30</v>
      </c>
      <c r="O124" s="3">
        <v>1.5</v>
      </c>
      <c r="P124" s="15">
        <f t="shared" si="11"/>
        <v>45</v>
      </c>
      <c r="Q124" s="35">
        <v>1</v>
      </c>
      <c r="R124" s="15">
        <f t="shared" si="12"/>
        <v>1.5</v>
      </c>
      <c r="S124" s="15">
        <f t="shared" si="13"/>
        <v>45</v>
      </c>
      <c r="T124" s="4">
        <f t="shared" si="14"/>
        <v>2.5</v>
      </c>
      <c r="U124" s="3">
        <f t="shared" si="15"/>
        <v>75</v>
      </c>
      <c r="V124" s="19"/>
    </row>
    <row r="125" spans="1:22" x14ac:dyDescent="0.3">
      <c r="B125" s="62" t="s">
        <v>468</v>
      </c>
      <c r="C125" s="13" t="s">
        <v>17</v>
      </c>
      <c r="D125" s="65"/>
      <c r="E125" s="65"/>
      <c r="F125" s="65"/>
      <c r="G125" s="64">
        <v>5</v>
      </c>
      <c r="H125" s="15">
        <v>150</v>
      </c>
      <c r="I125" s="15">
        <v>45</v>
      </c>
      <c r="J125" s="3">
        <v>0.5</v>
      </c>
      <c r="K125" s="15">
        <f t="shared" si="8"/>
        <v>15</v>
      </c>
      <c r="L125" s="17">
        <v>1</v>
      </c>
      <c r="M125" s="15">
        <f t="shared" si="9"/>
        <v>0.5</v>
      </c>
      <c r="N125" s="15">
        <f t="shared" si="10"/>
        <v>15</v>
      </c>
      <c r="O125" s="3">
        <v>1</v>
      </c>
      <c r="P125" s="15">
        <f t="shared" si="11"/>
        <v>30</v>
      </c>
      <c r="Q125" s="35">
        <v>2</v>
      </c>
      <c r="R125" s="15">
        <f t="shared" si="12"/>
        <v>2</v>
      </c>
      <c r="S125" s="15">
        <f t="shared" si="13"/>
        <v>60</v>
      </c>
      <c r="T125" s="4">
        <f t="shared" si="14"/>
        <v>2.5</v>
      </c>
      <c r="U125" s="3">
        <f t="shared" si="15"/>
        <v>75</v>
      </c>
      <c r="V125" s="19"/>
    </row>
    <row r="126" spans="1:22" x14ac:dyDescent="0.3">
      <c r="B126" s="63"/>
      <c r="C126" s="13" t="s">
        <v>18</v>
      </c>
      <c r="D126" s="65"/>
      <c r="E126" s="65"/>
      <c r="F126" s="65"/>
      <c r="G126" s="66"/>
      <c r="H126" s="15">
        <v>150</v>
      </c>
      <c r="I126" s="15">
        <v>45</v>
      </c>
      <c r="J126" s="3">
        <v>0.5</v>
      </c>
      <c r="K126" s="15">
        <f t="shared" si="8"/>
        <v>15</v>
      </c>
      <c r="L126" s="17">
        <v>1</v>
      </c>
      <c r="M126" s="15">
        <f t="shared" si="9"/>
        <v>0.5</v>
      </c>
      <c r="N126" s="15">
        <f t="shared" si="10"/>
        <v>15</v>
      </c>
      <c r="O126" s="3">
        <v>1</v>
      </c>
      <c r="P126" s="15">
        <f t="shared" si="11"/>
        <v>30</v>
      </c>
      <c r="Q126" s="35">
        <v>1</v>
      </c>
      <c r="R126" s="15">
        <f t="shared" si="12"/>
        <v>1</v>
      </c>
      <c r="S126" s="15">
        <f t="shared" si="13"/>
        <v>30</v>
      </c>
      <c r="T126" s="4">
        <f t="shared" si="14"/>
        <v>1.5</v>
      </c>
      <c r="U126" s="3">
        <f t="shared" si="15"/>
        <v>45</v>
      </c>
      <c r="V126" s="19"/>
    </row>
    <row r="127" spans="1:22" x14ac:dyDescent="0.35">
      <c r="A127" s="8"/>
      <c r="B127" s="62" t="s">
        <v>469</v>
      </c>
      <c r="C127" s="13" t="s">
        <v>17</v>
      </c>
      <c r="D127" s="65"/>
      <c r="E127" s="65"/>
      <c r="F127" s="65"/>
      <c r="G127" s="87">
        <v>5</v>
      </c>
      <c r="H127" s="15">
        <v>150</v>
      </c>
      <c r="I127" s="15">
        <v>45</v>
      </c>
      <c r="J127" s="3">
        <v>0.5</v>
      </c>
      <c r="K127" s="15">
        <f t="shared" si="8"/>
        <v>15</v>
      </c>
      <c r="L127" s="17">
        <v>1</v>
      </c>
      <c r="M127" s="15">
        <f t="shared" si="9"/>
        <v>0.5</v>
      </c>
      <c r="N127" s="15">
        <f t="shared" si="10"/>
        <v>15</v>
      </c>
      <c r="O127" s="3">
        <v>1</v>
      </c>
      <c r="P127" s="15">
        <f t="shared" si="11"/>
        <v>30</v>
      </c>
      <c r="Q127" s="35">
        <v>2</v>
      </c>
      <c r="R127" s="15">
        <f t="shared" si="12"/>
        <v>2</v>
      </c>
      <c r="S127" s="15">
        <f t="shared" si="13"/>
        <v>60</v>
      </c>
      <c r="T127" s="4">
        <f t="shared" si="14"/>
        <v>2.5</v>
      </c>
      <c r="U127" s="3">
        <f t="shared" si="15"/>
        <v>75</v>
      </c>
      <c r="V127" s="10"/>
    </row>
    <row r="128" spans="1:22" x14ac:dyDescent="0.35">
      <c r="A128" s="8"/>
      <c r="B128" s="63"/>
      <c r="C128" s="13" t="s">
        <v>18</v>
      </c>
      <c r="D128" s="65"/>
      <c r="E128" s="65"/>
      <c r="F128" s="65"/>
      <c r="G128" s="88"/>
      <c r="H128" s="15">
        <v>150</v>
      </c>
      <c r="I128" s="15">
        <v>45</v>
      </c>
      <c r="J128" s="3">
        <v>0.5</v>
      </c>
      <c r="K128" s="15">
        <f t="shared" si="8"/>
        <v>15</v>
      </c>
      <c r="L128" s="17">
        <v>1</v>
      </c>
      <c r="M128" s="15">
        <f t="shared" si="9"/>
        <v>0.5</v>
      </c>
      <c r="N128" s="15">
        <f t="shared" si="10"/>
        <v>15</v>
      </c>
      <c r="O128" s="3">
        <v>1</v>
      </c>
      <c r="P128" s="15">
        <f t="shared" si="11"/>
        <v>30</v>
      </c>
      <c r="Q128" s="35">
        <v>1</v>
      </c>
      <c r="R128" s="15">
        <f t="shared" si="12"/>
        <v>1</v>
      </c>
      <c r="S128" s="15">
        <f t="shared" si="13"/>
        <v>30</v>
      </c>
      <c r="T128" s="4">
        <f t="shared" si="14"/>
        <v>1.5</v>
      </c>
      <c r="U128" s="3">
        <f t="shared" si="15"/>
        <v>45</v>
      </c>
      <c r="V128" s="20"/>
    </row>
    <row r="129" spans="1:22" x14ac:dyDescent="0.35">
      <c r="A129" s="8"/>
      <c r="B129" s="62" t="s">
        <v>470</v>
      </c>
      <c r="C129" s="13" t="s">
        <v>17</v>
      </c>
      <c r="D129" s="65"/>
      <c r="E129" s="65"/>
      <c r="F129" s="65"/>
      <c r="G129" s="87">
        <v>4</v>
      </c>
      <c r="H129" s="15">
        <v>120</v>
      </c>
      <c r="I129" s="15">
        <v>45</v>
      </c>
      <c r="J129" s="3">
        <v>0.5</v>
      </c>
      <c r="K129" s="15">
        <f t="shared" si="8"/>
        <v>15</v>
      </c>
      <c r="L129" s="17">
        <v>1</v>
      </c>
      <c r="M129" s="15">
        <f t="shared" si="9"/>
        <v>0.5</v>
      </c>
      <c r="N129" s="15">
        <f t="shared" si="10"/>
        <v>15</v>
      </c>
      <c r="O129" s="3">
        <v>1</v>
      </c>
      <c r="P129" s="15">
        <f t="shared" si="11"/>
        <v>30</v>
      </c>
      <c r="Q129" s="35">
        <v>2</v>
      </c>
      <c r="R129" s="15">
        <f t="shared" si="12"/>
        <v>2</v>
      </c>
      <c r="S129" s="15">
        <f t="shared" si="13"/>
        <v>60</v>
      </c>
      <c r="T129" s="4">
        <f t="shared" si="14"/>
        <v>2.5</v>
      </c>
      <c r="U129" s="3">
        <f t="shared" si="15"/>
        <v>75</v>
      </c>
      <c r="V129" s="10"/>
    </row>
    <row r="130" spans="1:22" x14ac:dyDescent="0.35">
      <c r="A130" s="8"/>
      <c r="B130" s="63"/>
      <c r="C130" s="13" t="s">
        <v>18</v>
      </c>
      <c r="D130" s="65"/>
      <c r="E130" s="65"/>
      <c r="F130" s="65"/>
      <c r="G130" s="88"/>
      <c r="H130" s="15">
        <v>120</v>
      </c>
      <c r="I130" s="15">
        <v>45</v>
      </c>
      <c r="J130" s="3">
        <v>0.5</v>
      </c>
      <c r="K130" s="15">
        <f t="shared" si="8"/>
        <v>15</v>
      </c>
      <c r="L130" s="17">
        <v>1</v>
      </c>
      <c r="M130" s="15">
        <f t="shared" si="9"/>
        <v>0.5</v>
      </c>
      <c r="N130" s="15">
        <f t="shared" si="10"/>
        <v>15</v>
      </c>
      <c r="O130" s="3">
        <v>1</v>
      </c>
      <c r="P130" s="15">
        <f t="shared" si="11"/>
        <v>30</v>
      </c>
      <c r="Q130" s="35">
        <v>1</v>
      </c>
      <c r="R130" s="15">
        <f t="shared" si="12"/>
        <v>1</v>
      </c>
      <c r="S130" s="15">
        <f t="shared" si="13"/>
        <v>30</v>
      </c>
      <c r="T130" s="4">
        <f t="shared" si="14"/>
        <v>1.5</v>
      </c>
      <c r="U130" s="3">
        <f t="shared" si="15"/>
        <v>45</v>
      </c>
      <c r="V130" s="20"/>
    </row>
    <row r="131" spans="1:22" x14ac:dyDescent="0.3">
      <c r="A131" s="7"/>
      <c r="B131" s="62" t="s">
        <v>471</v>
      </c>
      <c r="C131" s="13" t="s">
        <v>17</v>
      </c>
      <c r="D131" s="65"/>
      <c r="E131" s="65"/>
      <c r="F131" s="65"/>
      <c r="G131" s="64">
        <v>4</v>
      </c>
      <c r="H131" s="15">
        <v>120</v>
      </c>
      <c r="I131" s="15">
        <v>45</v>
      </c>
      <c r="J131" s="3">
        <v>0.5</v>
      </c>
      <c r="K131" s="15">
        <f t="shared" si="8"/>
        <v>15</v>
      </c>
      <c r="L131" s="17">
        <v>1</v>
      </c>
      <c r="M131" s="15">
        <f t="shared" si="9"/>
        <v>0.5</v>
      </c>
      <c r="N131" s="15">
        <f t="shared" si="10"/>
        <v>15</v>
      </c>
      <c r="O131" s="3">
        <v>1</v>
      </c>
      <c r="P131" s="15">
        <f t="shared" si="11"/>
        <v>30</v>
      </c>
      <c r="Q131" s="35">
        <v>2</v>
      </c>
      <c r="R131" s="15">
        <f t="shared" si="12"/>
        <v>2</v>
      </c>
      <c r="S131" s="15">
        <f t="shared" si="13"/>
        <v>60</v>
      </c>
      <c r="T131" s="4">
        <f t="shared" si="14"/>
        <v>2.5</v>
      </c>
      <c r="U131" s="3">
        <f t="shared" si="15"/>
        <v>75</v>
      </c>
      <c r="V131" s="19"/>
    </row>
    <row r="132" spans="1:22" x14ac:dyDescent="0.3">
      <c r="A132" s="7"/>
      <c r="B132" s="63"/>
      <c r="C132" s="13" t="s">
        <v>18</v>
      </c>
      <c r="D132" s="66"/>
      <c r="E132" s="66"/>
      <c r="F132" s="66"/>
      <c r="G132" s="66"/>
      <c r="H132" s="15">
        <v>120</v>
      </c>
      <c r="I132" s="15">
        <v>45</v>
      </c>
      <c r="J132" s="3">
        <v>0.5</v>
      </c>
      <c r="K132" s="15">
        <f t="shared" si="8"/>
        <v>15</v>
      </c>
      <c r="L132" s="17">
        <v>1</v>
      </c>
      <c r="M132" s="15">
        <f t="shared" si="9"/>
        <v>0.5</v>
      </c>
      <c r="N132" s="15">
        <f t="shared" si="10"/>
        <v>15</v>
      </c>
      <c r="O132" s="3">
        <v>1</v>
      </c>
      <c r="P132" s="15">
        <f t="shared" si="11"/>
        <v>30</v>
      </c>
      <c r="Q132" s="35">
        <v>1</v>
      </c>
      <c r="R132" s="15">
        <f t="shared" si="12"/>
        <v>1</v>
      </c>
      <c r="S132" s="15">
        <f t="shared" si="13"/>
        <v>30</v>
      </c>
      <c r="T132" s="4">
        <f t="shared" si="14"/>
        <v>1.5</v>
      </c>
      <c r="U132" s="3">
        <f t="shared" si="15"/>
        <v>45</v>
      </c>
      <c r="V132" s="19"/>
    </row>
    <row r="133" spans="1:22" ht="36" x14ac:dyDescent="0.3">
      <c r="A133" s="7"/>
      <c r="B133" s="14" t="s">
        <v>400</v>
      </c>
      <c r="C133" s="64" t="s">
        <v>17</v>
      </c>
      <c r="D133" s="64">
        <v>35</v>
      </c>
      <c r="E133" s="64"/>
      <c r="F133" s="64" t="s">
        <v>28</v>
      </c>
      <c r="G133" s="12">
        <v>5</v>
      </c>
      <c r="H133" s="15">
        <v>150</v>
      </c>
      <c r="I133" s="15">
        <v>45</v>
      </c>
      <c r="J133" s="3">
        <v>0.5</v>
      </c>
      <c r="K133" s="15">
        <f t="shared" si="8"/>
        <v>15</v>
      </c>
      <c r="L133" s="17">
        <v>1</v>
      </c>
      <c r="M133" s="15">
        <f t="shared" si="9"/>
        <v>0.5</v>
      </c>
      <c r="N133" s="15">
        <f t="shared" si="10"/>
        <v>15</v>
      </c>
      <c r="O133" s="3">
        <v>1</v>
      </c>
      <c r="P133" s="15">
        <f t="shared" si="11"/>
        <v>30</v>
      </c>
      <c r="Q133" s="17">
        <v>2</v>
      </c>
      <c r="R133" s="15">
        <f t="shared" si="12"/>
        <v>2</v>
      </c>
      <c r="S133" s="15">
        <f t="shared" si="13"/>
        <v>60</v>
      </c>
      <c r="T133" s="4">
        <f t="shared" si="14"/>
        <v>2.5</v>
      </c>
      <c r="U133" s="3">
        <f t="shared" si="15"/>
        <v>75</v>
      </c>
      <c r="V133" s="19"/>
    </row>
    <row r="134" spans="1:22" x14ac:dyDescent="0.3">
      <c r="A134" s="7"/>
      <c r="B134" s="14" t="s">
        <v>399</v>
      </c>
      <c r="C134" s="65"/>
      <c r="D134" s="65"/>
      <c r="E134" s="65"/>
      <c r="F134" s="65"/>
      <c r="G134" s="12">
        <v>5</v>
      </c>
      <c r="H134" s="15">
        <v>150</v>
      </c>
      <c r="I134" s="15">
        <v>45</v>
      </c>
      <c r="J134" s="3">
        <v>0.5</v>
      </c>
      <c r="K134" s="15">
        <f t="shared" ref="K134:K170" si="16">J134*30</f>
        <v>15</v>
      </c>
      <c r="L134" s="17">
        <v>1</v>
      </c>
      <c r="M134" s="15">
        <f t="shared" ref="M134:M170" si="17">J134*L134</f>
        <v>0.5</v>
      </c>
      <c r="N134" s="15">
        <f t="shared" ref="N134:N170" si="18">K134*L134</f>
        <v>15</v>
      </c>
      <c r="O134" s="3">
        <v>1</v>
      </c>
      <c r="P134" s="15">
        <f t="shared" ref="P134:P170" si="19">O134*30</f>
        <v>30</v>
      </c>
      <c r="Q134" s="17">
        <v>2</v>
      </c>
      <c r="R134" s="15">
        <f t="shared" ref="R134:R170" si="20">O134*Q134</f>
        <v>2</v>
      </c>
      <c r="S134" s="15">
        <f t="shared" ref="S134:S170" si="21">P134*Q134</f>
        <v>60</v>
      </c>
      <c r="T134" s="4">
        <f t="shared" ref="T134:T170" si="22">M134+R134</f>
        <v>2.5</v>
      </c>
      <c r="U134" s="3">
        <f t="shared" ref="U134:U170" si="23">N134+S134</f>
        <v>75</v>
      </c>
      <c r="V134" s="19"/>
    </row>
    <row r="135" spans="1:22" x14ac:dyDescent="0.3">
      <c r="A135" s="7"/>
      <c r="B135" s="14" t="s">
        <v>402</v>
      </c>
      <c r="C135" s="65"/>
      <c r="D135" s="65"/>
      <c r="E135" s="65"/>
      <c r="F135" s="65"/>
      <c r="G135" s="12">
        <v>5</v>
      </c>
      <c r="H135" s="15">
        <v>150</v>
      </c>
      <c r="I135" s="15">
        <v>45</v>
      </c>
      <c r="J135" s="3">
        <v>0.5</v>
      </c>
      <c r="K135" s="15">
        <f t="shared" si="16"/>
        <v>15</v>
      </c>
      <c r="L135" s="17">
        <v>1</v>
      </c>
      <c r="M135" s="15">
        <f t="shared" si="17"/>
        <v>0.5</v>
      </c>
      <c r="N135" s="15">
        <f t="shared" si="18"/>
        <v>15</v>
      </c>
      <c r="O135" s="3">
        <v>1</v>
      </c>
      <c r="P135" s="15">
        <f t="shared" si="19"/>
        <v>30</v>
      </c>
      <c r="Q135" s="17">
        <v>2</v>
      </c>
      <c r="R135" s="15">
        <f t="shared" si="20"/>
        <v>2</v>
      </c>
      <c r="S135" s="15">
        <f t="shared" si="21"/>
        <v>60</v>
      </c>
      <c r="T135" s="4">
        <f t="shared" si="22"/>
        <v>2.5</v>
      </c>
      <c r="U135" s="3">
        <f t="shared" si="23"/>
        <v>75</v>
      </c>
      <c r="V135" s="19"/>
    </row>
    <row r="136" spans="1:22" ht="54" x14ac:dyDescent="0.3">
      <c r="A136" s="7"/>
      <c r="B136" s="14" t="s">
        <v>401</v>
      </c>
      <c r="C136" s="65"/>
      <c r="D136" s="65"/>
      <c r="E136" s="65"/>
      <c r="F136" s="65"/>
      <c r="G136" s="12">
        <v>5</v>
      </c>
      <c r="H136" s="15">
        <v>150</v>
      </c>
      <c r="I136" s="15">
        <v>45</v>
      </c>
      <c r="J136" s="3">
        <v>0.5</v>
      </c>
      <c r="K136" s="15">
        <f t="shared" si="16"/>
        <v>15</v>
      </c>
      <c r="L136" s="17">
        <v>1</v>
      </c>
      <c r="M136" s="15">
        <f t="shared" si="17"/>
        <v>0.5</v>
      </c>
      <c r="N136" s="15">
        <f t="shared" si="18"/>
        <v>15</v>
      </c>
      <c r="O136" s="3">
        <v>1</v>
      </c>
      <c r="P136" s="15">
        <f t="shared" si="19"/>
        <v>30</v>
      </c>
      <c r="Q136" s="17">
        <v>2</v>
      </c>
      <c r="R136" s="15">
        <f t="shared" si="20"/>
        <v>2</v>
      </c>
      <c r="S136" s="15">
        <f t="shared" si="21"/>
        <v>60</v>
      </c>
      <c r="T136" s="4">
        <f t="shared" si="22"/>
        <v>2.5</v>
      </c>
      <c r="U136" s="3">
        <f t="shared" si="23"/>
        <v>75</v>
      </c>
      <c r="V136" s="19"/>
    </row>
    <row r="137" spans="1:22" ht="54" x14ac:dyDescent="0.3">
      <c r="A137" s="7"/>
      <c r="B137" s="14" t="s">
        <v>473</v>
      </c>
      <c r="C137" s="65"/>
      <c r="D137" s="65"/>
      <c r="E137" s="65"/>
      <c r="F137" s="65"/>
      <c r="G137" s="12">
        <v>5</v>
      </c>
      <c r="H137" s="15">
        <v>150</v>
      </c>
      <c r="I137" s="15">
        <v>45</v>
      </c>
      <c r="J137" s="3">
        <v>0.5</v>
      </c>
      <c r="K137" s="15">
        <f t="shared" si="16"/>
        <v>15</v>
      </c>
      <c r="L137" s="17">
        <v>1</v>
      </c>
      <c r="M137" s="15">
        <f t="shared" si="17"/>
        <v>0.5</v>
      </c>
      <c r="N137" s="15">
        <f t="shared" si="18"/>
        <v>15</v>
      </c>
      <c r="O137" s="3">
        <v>1</v>
      </c>
      <c r="P137" s="15">
        <f t="shared" si="19"/>
        <v>30</v>
      </c>
      <c r="Q137" s="17">
        <v>2</v>
      </c>
      <c r="R137" s="15">
        <f t="shared" si="20"/>
        <v>2</v>
      </c>
      <c r="S137" s="15">
        <f t="shared" si="21"/>
        <v>60</v>
      </c>
      <c r="T137" s="4">
        <f t="shared" si="22"/>
        <v>2.5</v>
      </c>
      <c r="U137" s="3">
        <f t="shared" si="23"/>
        <v>75</v>
      </c>
      <c r="V137" s="19"/>
    </row>
    <row r="138" spans="1:22" ht="54" x14ac:dyDescent="0.3">
      <c r="A138" s="7"/>
      <c r="B138" s="14" t="s">
        <v>404</v>
      </c>
      <c r="C138" s="66"/>
      <c r="D138" s="65"/>
      <c r="E138" s="65"/>
      <c r="F138" s="65"/>
      <c r="G138" s="12">
        <v>5</v>
      </c>
      <c r="H138" s="15">
        <v>150</v>
      </c>
      <c r="I138" s="15">
        <v>45</v>
      </c>
      <c r="J138" s="3">
        <v>0.5</v>
      </c>
      <c r="K138" s="15">
        <f t="shared" si="16"/>
        <v>15</v>
      </c>
      <c r="L138" s="17">
        <v>1</v>
      </c>
      <c r="M138" s="15">
        <f t="shared" si="17"/>
        <v>0.5</v>
      </c>
      <c r="N138" s="15">
        <f t="shared" si="18"/>
        <v>15</v>
      </c>
      <c r="O138" s="3">
        <v>1</v>
      </c>
      <c r="P138" s="15">
        <f t="shared" si="19"/>
        <v>30</v>
      </c>
      <c r="Q138" s="17">
        <v>2</v>
      </c>
      <c r="R138" s="15">
        <f t="shared" si="20"/>
        <v>2</v>
      </c>
      <c r="S138" s="15">
        <f t="shared" si="21"/>
        <v>60</v>
      </c>
      <c r="T138" s="4">
        <f t="shared" si="22"/>
        <v>2.5</v>
      </c>
      <c r="U138" s="3">
        <f t="shared" si="23"/>
        <v>75</v>
      </c>
      <c r="V138" s="19"/>
    </row>
    <row r="139" spans="1:22" x14ac:dyDescent="0.3">
      <c r="A139" s="7"/>
      <c r="B139" s="14" t="s">
        <v>474</v>
      </c>
      <c r="C139" s="64" t="s">
        <v>18</v>
      </c>
      <c r="D139" s="64"/>
      <c r="E139" s="64">
        <v>32</v>
      </c>
      <c r="F139" s="64" t="s">
        <v>480</v>
      </c>
      <c r="G139" s="12">
        <v>5</v>
      </c>
      <c r="H139" s="15">
        <v>150</v>
      </c>
      <c r="I139" s="15">
        <v>45</v>
      </c>
      <c r="J139" s="3">
        <v>0.5</v>
      </c>
      <c r="K139" s="15">
        <f t="shared" si="16"/>
        <v>15</v>
      </c>
      <c r="L139" s="17">
        <v>1</v>
      </c>
      <c r="M139" s="15">
        <f t="shared" si="17"/>
        <v>0.5</v>
      </c>
      <c r="N139" s="15">
        <f t="shared" si="18"/>
        <v>15</v>
      </c>
      <c r="O139" s="3">
        <v>1</v>
      </c>
      <c r="P139" s="15">
        <f t="shared" si="19"/>
        <v>30</v>
      </c>
      <c r="Q139" s="38">
        <v>2</v>
      </c>
      <c r="R139" s="15">
        <f t="shared" si="20"/>
        <v>2</v>
      </c>
      <c r="S139" s="15">
        <f t="shared" si="21"/>
        <v>60</v>
      </c>
      <c r="T139" s="4">
        <f t="shared" si="22"/>
        <v>2.5</v>
      </c>
      <c r="U139" s="3">
        <f t="shared" si="23"/>
        <v>75</v>
      </c>
      <c r="V139" s="19"/>
    </row>
    <row r="140" spans="1:22" ht="36" x14ac:dyDescent="0.3">
      <c r="B140" s="14" t="s">
        <v>475</v>
      </c>
      <c r="C140" s="65"/>
      <c r="D140" s="65"/>
      <c r="E140" s="65"/>
      <c r="F140" s="65"/>
      <c r="G140" s="12">
        <v>5</v>
      </c>
      <c r="H140" s="15">
        <v>150</v>
      </c>
      <c r="I140" s="15">
        <v>45</v>
      </c>
      <c r="J140" s="3">
        <v>0.5</v>
      </c>
      <c r="K140" s="15">
        <f t="shared" si="16"/>
        <v>15</v>
      </c>
      <c r="L140" s="17">
        <v>1</v>
      </c>
      <c r="M140" s="15">
        <f t="shared" si="17"/>
        <v>0.5</v>
      </c>
      <c r="N140" s="15">
        <f t="shared" si="18"/>
        <v>15</v>
      </c>
      <c r="O140" s="3">
        <v>1</v>
      </c>
      <c r="P140" s="15">
        <f t="shared" si="19"/>
        <v>30</v>
      </c>
      <c r="Q140" s="38">
        <v>2</v>
      </c>
      <c r="R140" s="15">
        <f t="shared" si="20"/>
        <v>2</v>
      </c>
      <c r="S140" s="15">
        <f t="shared" si="21"/>
        <v>60</v>
      </c>
      <c r="T140" s="4">
        <f t="shared" si="22"/>
        <v>2.5</v>
      </c>
      <c r="U140" s="3">
        <f t="shared" si="23"/>
        <v>75</v>
      </c>
      <c r="V140" s="19"/>
    </row>
    <row r="141" spans="1:22" ht="36" x14ac:dyDescent="0.3">
      <c r="B141" s="14" t="s">
        <v>476</v>
      </c>
      <c r="C141" s="65"/>
      <c r="D141" s="65"/>
      <c r="E141" s="65"/>
      <c r="F141" s="65"/>
      <c r="G141" s="12">
        <v>5</v>
      </c>
      <c r="H141" s="15">
        <v>150</v>
      </c>
      <c r="I141" s="15">
        <v>45</v>
      </c>
      <c r="J141" s="3">
        <v>0.5</v>
      </c>
      <c r="K141" s="15">
        <f t="shared" si="16"/>
        <v>15</v>
      </c>
      <c r="L141" s="17">
        <v>1</v>
      </c>
      <c r="M141" s="15">
        <f t="shared" si="17"/>
        <v>0.5</v>
      </c>
      <c r="N141" s="15">
        <f t="shared" si="18"/>
        <v>15</v>
      </c>
      <c r="O141" s="3">
        <v>1</v>
      </c>
      <c r="P141" s="15">
        <f t="shared" si="19"/>
        <v>30</v>
      </c>
      <c r="Q141" s="38">
        <v>2</v>
      </c>
      <c r="R141" s="15">
        <f t="shared" si="20"/>
        <v>2</v>
      </c>
      <c r="S141" s="15">
        <f t="shared" si="21"/>
        <v>60</v>
      </c>
      <c r="T141" s="4">
        <f t="shared" si="22"/>
        <v>2.5</v>
      </c>
      <c r="U141" s="3">
        <f t="shared" si="23"/>
        <v>75</v>
      </c>
      <c r="V141" s="19"/>
    </row>
    <row r="142" spans="1:22" ht="36" x14ac:dyDescent="0.3">
      <c r="B142" s="14" t="s">
        <v>477</v>
      </c>
      <c r="C142" s="65"/>
      <c r="D142" s="65"/>
      <c r="E142" s="65"/>
      <c r="F142" s="65"/>
      <c r="G142" s="12">
        <v>5</v>
      </c>
      <c r="H142" s="15">
        <v>150</v>
      </c>
      <c r="I142" s="15">
        <v>45</v>
      </c>
      <c r="J142" s="3">
        <v>0.5</v>
      </c>
      <c r="K142" s="15">
        <f t="shared" si="16"/>
        <v>15</v>
      </c>
      <c r="L142" s="17">
        <v>1</v>
      </c>
      <c r="M142" s="15">
        <f t="shared" si="17"/>
        <v>0.5</v>
      </c>
      <c r="N142" s="15">
        <f t="shared" si="18"/>
        <v>15</v>
      </c>
      <c r="O142" s="3">
        <v>1</v>
      </c>
      <c r="P142" s="15">
        <f t="shared" si="19"/>
        <v>30</v>
      </c>
      <c r="Q142" s="38">
        <v>2</v>
      </c>
      <c r="R142" s="15">
        <f t="shared" si="20"/>
        <v>2</v>
      </c>
      <c r="S142" s="15">
        <f t="shared" si="21"/>
        <v>60</v>
      </c>
      <c r="T142" s="4">
        <f t="shared" si="22"/>
        <v>2.5</v>
      </c>
      <c r="U142" s="3">
        <f t="shared" si="23"/>
        <v>75</v>
      </c>
      <c r="V142" s="19"/>
    </row>
    <row r="143" spans="1:22" ht="78" customHeight="1" x14ac:dyDescent="0.3">
      <c r="B143" s="14" t="s">
        <v>478</v>
      </c>
      <c r="C143" s="65"/>
      <c r="D143" s="65"/>
      <c r="E143" s="65"/>
      <c r="F143" s="65"/>
      <c r="G143" s="12">
        <v>5</v>
      </c>
      <c r="H143" s="15">
        <v>150</v>
      </c>
      <c r="I143" s="15">
        <v>45</v>
      </c>
      <c r="J143" s="3">
        <v>0.5</v>
      </c>
      <c r="K143" s="15">
        <f t="shared" si="16"/>
        <v>15</v>
      </c>
      <c r="L143" s="17">
        <v>1</v>
      </c>
      <c r="M143" s="15">
        <f t="shared" si="17"/>
        <v>0.5</v>
      </c>
      <c r="N143" s="15">
        <f t="shared" si="18"/>
        <v>15</v>
      </c>
      <c r="O143" s="3">
        <v>1</v>
      </c>
      <c r="P143" s="15">
        <f t="shared" si="19"/>
        <v>30</v>
      </c>
      <c r="Q143" s="38">
        <v>2</v>
      </c>
      <c r="R143" s="15">
        <f t="shared" si="20"/>
        <v>2</v>
      </c>
      <c r="S143" s="15">
        <f t="shared" si="21"/>
        <v>60</v>
      </c>
      <c r="T143" s="4">
        <f t="shared" si="22"/>
        <v>2.5</v>
      </c>
      <c r="U143" s="3">
        <f t="shared" si="23"/>
        <v>75</v>
      </c>
      <c r="V143" s="19"/>
    </row>
    <row r="144" spans="1:22" ht="54" x14ac:dyDescent="0.35">
      <c r="A144" s="8"/>
      <c r="B144" s="14" t="s">
        <v>479</v>
      </c>
      <c r="C144" s="66"/>
      <c r="D144" s="65"/>
      <c r="E144" s="65"/>
      <c r="F144" s="65"/>
      <c r="G144" s="16">
        <v>5</v>
      </c>
      <c r="H144" s="15">
        <v>150</v>
      </c>
      <c r="I144" s="15">
        <v>45</v>
      </c>
      <c r="J144" s="3">
        <v>0.5</v>
      </c>
      <c r="K144" s="15">
        <f t="shared" si="16"/>
        <v>15</v>
      </c>
      <c r="L144" s="17">
        <v>1</v>
      </c>
      <c r="M144" s="15">
        <f t="shared" si="17"/>
        <v>0.5</v>
      </c>
      <c r="N144" s="15">
        <f t="shared" si="18"/>
        <v>15</v>
      </c>
      <c r="O144" s="3">
        <v>1</v>
      </c>
      <c r="P144" s="15">
        <f t="shared" si="19"/>
        <v>30</v>
      </c>
      <c r="Q144" s="38">
        <v>2</v>
      </c>
      <c r="R144" s="15">
        <f t="shared" si="20"/>
        <v>2</v>
      </c>
      <c r="S144" s="15">
        <f t="shared" si="21"/>
        <v>60</v>
      </c>
      <c r="T144" s="4">
        <f t="shared" si="22"/>
        <v>2.5</v>
      </c>
      <c r="U144" s="3">
        <f t="shared" si="23"/>
        <v>75</v>
      </c>
      <c r="V144" s="10"/>
    </row>
    <row r="145" spans="1:22" x14ac:dyDescent="0.35">
      <c r="A145" s="8"/>
      <c r="B145" s="14" t="s">
        <v>481</v>
      </c>
      <c r="C145" s="64" t="s">
        <v>206</v>
      </c>
      <c r="D145" s="64">
        <v>40</v>
      </c>
      <c r="E145" s="64">
        <v>19</v>
      </c>
      <c r="F145" s="64" t="s">
        <v>354</v>
      </c>
      <c r="G145" s="16">
        <v>5</v>
      </c>
      <c r="H145" s="15">
        <v>150</v>
      </c>
      <c r="I145" s="15">
        <v>45</v>
      </c>
      <c r="J145" s="3">
        <v>0</v>
      </c>
      <c r="K145" s="15">
        <f>J145*30</f>
        <v>0</v>
      </c>
      <c r="L145" s="17">
        <v>0</v>
      </c>
      <c r="M145" s="15">
        <f t="shared" si="17"/>
        <v>0</v>
      </c>
      <c r="N145" s="15">
        <f t="shared" si="18"/>
        <v>0</v>
      </c>
      <c r="O145" s="3">
        <v>1.5</v>
      </c>
      <c r="P145" s="15">
        <f t="shared" si="19"/>
        <v>45</v>
      </c>
      <c r="Q145" s="9">
        <v>5</v>
      </c>
      <c r="R145" s="15">
        <f t="shared" si="20"/>
        <v>7.5</v>
      </c>
      <c r="S145" s="15">
        <f t="shared" si="21"/>
        <v>225</v>
      </c>
      <c r="T145" s="4">
        <f t="shared" si="22"/>
        <v>7.5</v>
      </c>
      <c r="U145" s="3">
        <f t="shared" si="23"/>
        <v>225</v>
      </c>
      <c r="V145" s="10"/>
    </row>
    <row r="146" spans="1:22" ht="36" x14ac:dyDescent="0.3">
      <c r="A146" s="7"/>
      <c r="B146" s="14" t="s">
        <v>368</v>
      </c>
      <c r="C146" s="65"/>
      <c r="D146" s="65"/>
      <c r="E146" s="65"/>
      <c r="F146" s="65"/>
      <c r="G146" s="12">
        <v>5</v>
      </c>
      <c r="H146" s="15">
        <v>150</v>
      </c>
      <c r="I146" s="15">
        <v>45</v>
      </c>
      <c r="J146" s="3">
        <v>0.5</v>
      </c>
      <c r="K146" s="15">
        <f t="shared" si="16"/>
        <v>15</v>
      </c>
      <c r="L146" s="17">
        <v>1</v>
      </c>
      <c r="M146" s="15">
        <f t="shared" si="17"/>
        <v>0.5</v>
      </c>
      <c r="N146" s="15">
        <f t="shared" si="18"/>
        <v>15</v>
      </c>
      <c r="O146" s="3">
        <v>1</v>
      </c>
      <c r="P146" s="15">
        <f t="shared" si="19"/>
        <v>30</v>
      </c>
      <c r="Q146" s="17">
        <v>3</v>
      </c>
      <c r="R146" s="15">
        <f t="shared" si="20"/>
        <v>3</v>
      </c>
      <c r="S146" s="15">
        <f t="shared" si="21"/>
        <v>90</v>
      </c>
      <c r="T146" s="4">
        <f t="shared" si="22"/>
        <v>3.5</v>
      </c>
      <c r="U146" s="3">
        <f t="shared" si="23"/>
        <v>105</v>
      </c>
      <c r="V146" s="19"/>
    </row>
    <row r="147" spans="1:22" ht="54" x14ac:dyDescent="0.3">
      <c r="A147" s="7"/>
      <c r="B147" s="14" t="s">
        <v>485</v>
      </c>
      <c r="C147" s="65"/>
      <c r="D147" s="65"/>
      <c r="E147" s="65"/>
      <c r="F147" s="65"/>
      <c r="G147" s="12">
        <v>5</v>
      </c>
      <c r="H147" s="15">
        <v>150</v>
      </c>
      <c r="I147" s="15">
        <v>45</v>
      </c>
      <c r="J147" s="3">
        <v>0.5</v>
      </c>
      <c r="K147" s="15">
        <f t="shared" si="16"/>
        <v>15</v>
      </c>
      <c r="L147" s="17">
        <v>1</v>
      </c>
      <c r="M147" s="15">
        <f t="shared" si="17"/>
        <v>0.5</v>
      </c>
      <c r="N147" s="15">
        <f t="shared" si="18"/>
        <v>15</v>
      </c>
      <c r="O147" s="3">
        <v>1</v>
      </c>
      <c r="P147" s="15">
        <f t="shared" si="19"/>
        <v>30</v>
      </c>
      <c r="Q147" s="17">
        <v>3</v>
      </c>
      <c r="R147" s="15">
        <f t="shared" si="20"/>
        <v>3</v>
      </c>
      <c r="S147" s="15">
        <f t="shared" si="21"/>
        <v>90</v>
      </c>
      <c r="T147" s="4">
        <f t="shared" si="22"/>
        <v>3.5</v>
      </c>
      <c r="U147" s="3">
        <f t="shared" si="23"/>
        <v>105</v>
      </c>
      <c r="V147" s="19"/>
    </row>
    <row r="148" spans="1:22" x14ac:dyDescent="0.3">
      <c r="A148" s="7"/>
      <c r="B148" s="14" t="s">
        <v>482</v>
      </c>
      <c r="C148" s="65"/>
      <c r="D148" s="65"/>
      <c r="E148" s="65"/>
      <c r="F148" s="65"/>
      <c r="G148" s="12">
        <v>5</v>
      </c>
      <c r="H148" s="15">
        <v>150</v>
      </c>
      <c r="I148" s="15">
        <v>45</v>
      </c>
      <c r="J148" s="3">
        <v>0.5</v>
      </c>
      <c r="K148" s="15">
        <f t="shared" si="16"/>
        <v>15</v>
      </c>
      <c r="L148" s="17">
        <v>1</v>
      </c>
      <c r="M148" s="15">
        <f t="shared" si="17"/>
        <v>0.5</v>
      </c>
      <c r="N148" s="15">
        <f t="shared" si="18"/>
        <v>15</v>
      </c>
      <c r="O148" s="3">
        <v>1</v>
      </c>
      <c r="P148" s="15">
        <f t="shared" si="19"/>
        <v>30</v>
      </c>
      <c r="Q148" s="17">
        <v>3</v>
      </c>
      <c r="R148" s="15">
        <f t="shared" si="20"/>
        <v>3</v>
      </c>
      <c r="S148" s="15">
        <f t="shared" si="21"/>
        <v>90</v>
      </c>
      <c r="T148" s="4">
        <f t="shared" si="22"/>
        <v>3.5</v>
      </c>
      <c r="U148" s="3">
        <f t="shared" si="23"/>
        <v>105</v>
      </c>
      <c r="V148" s="19"/>
    </row>
    <row r="149" spans="1:22" ht="72" x14ac:dyDescent="0.3">
      <c r="A149" s="7"/>
      <c r="B149" s="14" t="s">
        <v>483</v>
      </c>
      <c r="C149" s="65"/>
      <c r="D149" s="65"/>
      <c r="E149" s="65"/>
      <c r="F149" s="65"/>
      <c r="G149" s="12">
        <v>5</v>
      </c>
      <c r="H149" s="15">
        <v>150</v>
      </c>
      <c r="I149" s="15">
        <v>45</v>
      </c>
      <c r="J149" s="3">
        <v>0.5</v>
      </c>
      <c r="K149" s="15">
        <f t="shared" si="16"/>
        <v>15</v>
      </c>
      <c r="L149" s="17">
        <v>1</v>
      </c>
      <c r="M149" s="15">
        <f t="shared" si="17"/>
        <v>0.5</v>
      </c>
      <c r="N149" s="15">
        <f t="shared" si="18"/>
        <v>15</v>
      </c>
      <c r="O149" s="3">
        <v>1</v>
      </c>
      <c r="P149" s="15">
        <f t="shared" si="19"/>
        <v>30</v>
      </c>
      <c r="Q149" s="17">
        <v>3</v>
      </c>
      <c r="R149" s="15">
        <f t="shared" si="20"/>
        <v>3</v>
      </c>
      <c r="S149" s="15">
        <f t="shared" si="21"/>
        <v>90</v>
      </c>
      <c r="T149" s="4">
        <f t="shared" si="22"/>
        <v>3.5</v>
      </c>
      <c r="U149" s="3">
        <f t="shared" si="23"/>
        <v>105</v>
      </c>
      <c r="V149" s="19"/>
    </row>
    <row r="150" spans="1:22" ht="72" x14ac:dyDescent="0.3">
      <c r="A150" s="7"/>
      <c r="B150" s="14" t="s">
        <v>484</v>
      </c>
      <c r="C150" s="66"/>
      <c r="D150" s="65"/>
      <c r="E150" s="65"/>
      <c r="F150" s="65"/>
      <c r="G150" s="12">
        <v>5</v>
      </c>
      <c r="H150" s="15">
        <v>150</v>
      </c>
      <c r="I150" s="15">
        <v>45</v>
      </c>
      <c r="J150" s="3">
        <v>0.5</v>
      </c>
      <c r="K150" s="15">
        <f t="shared" si="16"/>
        <v>15</v>
      </c>
      <c r="L150" s="17">
        <v>1</v>
      </c>
      <c r="M150" s="15">
        <f t="shared" si="17"/>
        <v>0.5</v>
      </c>
      <c r="N150" s="15">
        <f t="shared" si="18"/>
        <v>15</v>
      </c>
      <c r="O150" s="3">
        <v>1</v>
      </c>
      <c r="P150" s="15">
        <f t="shared" si="19"/>
        <v>30</v>
      </c>
      <c r="Q150" s="17">
        <v>3</v>
      </c>
      <c r="R150" s="15">
        <f t="shared" si="20"/>
        <v>3</v>
      </c>
      <c r="S150" s="15">
        <f t="shared" si="21"/>
        <v>90</v>
      </c>
      <c r="T150" s="4">
        <f t="shared" si="22"/>
        <v>3.5</v>
      </c>
      <c r="U150" s="3">
        <f t="shared" si="23"/>
        <v>105</v>
      </c>
      <c r="V150" s="19"/>
    </row>
    <row r="151" spans="1:22" x14ac:dyDescent="0.3">
      <c r="A151" s="7"/>
      <c r="B151" s="62" t="s">
        <v>486</v>
      </c>
      <c r="C151" s="13" t="s">
        <v>17</v>
      </c>
      <c r="D151" s="64">
        <v>197</v>
      </c>
      <c r="E151" s="64">
        <v>43</v>
      </c>
      <c r="F151" s="64" t="s">
        <v>363</v>
      </c>
      <c r="G151" s="64">
        <v>4</v>
      </c>
      <c r="H151" s="15">
        <v>120</v>
      </c>
      <c r="I151" s="15">
        <v>45</v>
      </c>
      <c r="J151" s="3">
        <v>0.5</v>
      </c>
      <c r="K151" s="15">
        <f t="shared" si="16"/>
        <v>15</v>
      </c>
      <c r="L151" s="17">
        <v>2</v>
      </c>
      <c r="M151" s="15">
        <f t="shared" si="17"/>
        <v>1</v>
      </c>
      <c r="N151" s="15">
        <f t="shared" si="18"/>
        <v>30</v>
      </c>
      <c r="O151" s="3">
        <v>1</v>
      </c>
      <c r="P151" s="15">
        <f t="shared" si="19"/>
        <v>30</v>
      </c>
      <c r="Q151" s="17">
        <v>8</v>
      </c>
      <c r="R151" s="15">
        <f t="shared" si="20"/>
        <v>8</v>
      </c>
      <c r="S151" s="15">
        <f t="shared" si="21"/>
        <v>240</v>
      </c>
      <c r="T151" s="4">
        <f t="shared" si="22"/>
        <v>9</v>
      </c>
      <c r="U151" s="3">
        <f t="shared" si="23"/>
        <v>270</v>
      </c>
      <c r="V151" s="19"/>
    </row>
    <row r="152" spans="1:22" x14ac:dyDescent="0.3">
      <c r="A152" s="7"/>
      <c r="B152" s="63"/>
      <c r="C152" s="13" t="s">
        <v>18</v>
      </c>
      <c r="D152" s="65"/>
      <c r="E152" s="65"/>
      <c r="F152" s="65"/>
      <c r="G152" s="66"/>
      <c r="H152" s="15">
        <v>120</v>
      </c>
      <c r="I152" s="15">
        <v>45</v>
      </c>
      <c r="J152" s="3">
        <v>0.5</v>
      </c>
      <c r="K152" s="15">
        <f t="shared" si="16"/>
        <v>15</v>
      </c>
      <c r="L152" s="17">
        <v>1</v>
      </c>
      <c r="M152" s="15">
        <f t="shared" si="17"/>
        <v>0.5</v>
      </c>
      <c r="N152" s="15">
        <f t="shared" si="18"/>
        <v>15</v>
      </c>
      <c r="O152" s="3">
        <v>1</v>
      </c>
      <c r="P152" s="15">
        <f t="shared" si="19"/>
        <v>30</v>
      </c>
      <c r="Q152" s="17">
        <v>2</v>
      </c>
      <c r="R152" s="15">
        <f t="shared" si="20"/>
        <v>2</v>
      </c>
      <c r="S152" s="15">
        <f t="shared" si="21"/>
        <v>60</v>
      </c>
      <c r="T152" s="4">
        <f t="shared" si="22"/>
        <v>2.5</v>
      </c>
      <c r="U152" s="3">
        <f t="shared" si="23"/>
        <v>75</v>
      </c>
      <c r="V152" s="19"/>
    </row>
    <row r="153" spans="1:22" x14ac:dyDescent="0.3">
      <c r="A153" s="96" t="s">
        <v>414</v>
      </c>
      <c r="B153" s="14" t="s">
        <v>203</v>
      </c>
      <c r="C153" s="64" t="s">
        <v>206</v>
      </c>
      <c r="D153" s="65"/>
      <c r="E153" s="65"/>
      <c r="F153" s="65"/>
      <c r="G153" s="12">
        <v>5</v>
      </c>
      <c r="H153" s="15">
        <v>150</v>
      </c>
      <c r="I153" s="15">
        <v>45</v>
      </c>
      <c r="J153" s="3">
        <v>0.5</v>
      </c>
      <c r="K153" s="15">
        <f t="shared" si="16"/>
        <v>15</v>
      </c>
      <c r="L153" s="17">
        <v>3</v>
      </c>
      <c r="M153" s="15">
        <f t="shared" si="17"/>
        <v>1.5</v>
      </c>
      <c r="N153" s="15">
        <f t="shared" si="18"/>
        <v>45</v>
      </c>
      <c r="O153" s="3">
        <v>1</v>
      </c>
      <c r="P153" s="15">
        <f t="shared" si="19"/>
        <v>30</v>
      </c>
      <c r="Q153" s="17">
        <v>13</v>
      </c>
      <c r="R153" s="15">
        <f t="shared" si="20"/>
        <v>13</v>
      </c>
      <c r="S153" s="15">
        <f t="shared" si="21"/>
        <v>390</v>
      </c>
      <c r="T153" s="4">
        <f t="shared" si="22"/>
        <v>14.5</v>
      </c>
      <c r="U153" s="3">
        <f t="shared" si="23"/>
        <v>435</v>
      </c>
      <c r="V153" s="19"/>
    </row>
    <row r="154" spans="1:22" x14ac:dyDescent="0.3">
      <c r="A154" s="96"/>
      <c r="B154" s="14" t="s">
        <v>406</v>
      </c>
      <c r="C154" s="65"/>
      <c r="D154" s="65"/>
      <c r="E154" s="65"/>
      <c r="F154" s="65"/>
      <c r="G154" s="12">
        <v>5</v>
      </c>
      <c r="H154" s="15">
        <v>150</v>
      </c>
      <c r="I154" s="15">
        <v>45</v>
      </c>
      <c r="J154" s="3">
        <v>0</v>
      </c>
      <c r="K154" s="15">
        <v>0</v>
      </c>
      <c r="L154" s="17">
        <v>0</v>
      </c>
      <c r="M154" s="15">
        <f t="shared" si="17"/>
        <v>0</v>
      </c>
      <c r="N154" s="15">
        <f t="shared" si="18"/>
        <v>0</v>
      </c>
      <c r="O154" s="3">
        <v>1.5</v>
      </c>
      <c r="P154" s="15">
        <f t="shared" si="19"/>
        <v>45</v>
      </c>
      <c r="Q154" s="17">
        <v>13</v>
      </c>
      <c r="R154" s="15">
        <f t="shared" si="20"/>
        <v>19.5</v>
      </c>
      <c r="S154" s="15">
        <f t="shared" si="21"/>
        <v>585</v>
      </c>
      <c r="T154" s="4">
        <f t="shared" si="22"/>
        <v>19.5</v>
      </c>
      <c r="U154" s="3">
        <f t="shared" si="23"/>
        <v>585</v>
      </c>
      <c r="V154" s="19"/>
    </row>
    <row r="155" spans="1:22" ht="36" x14ac:dyDescent="0.3">
      <c r="A155" s="96"/>
      <c r="B155" s="14" t="s">
        <v>372</v>
      </c>
      <c r="C155" s="66"/>
      <c r="D155" s="65"/>
      <c r="E155" s="65"/>
      <c r="F155" s="65"/>
      <c r="G155" s="12">
        <v>4</v>
      </c>
      <c r="H155" s="15">
        <v>120</v>
      </c>
      <c r="I155" s="15">
        <v>45</v>
      </c>
      <c r="J155" s="3">
        <v>0.5</v>
      </c>
      <c r="K155" s="15">
        <f t="shared" si="16"/>
        <v>15</v>
      </c>
      <c r="L155" s="17">
        <v>3</v>
      </c>
      <c r="M155" s="15">
        <f t="shared" si="17"/>
        <v>1.5</v>
      </c>
      <c r="N155" s="15">
        <f t="shared" si="18"/>
        <v>45</v>
      </c>
      <c r="O155" s="3">
        <v>1</v>
      </c>
      <c r="P155" s="15">
        <f t="shared" si="19"/>
        <v>30</v>
      </c>
      <c r="Q155" s="17">
        <v>13</v>
      </c>
      <c r="R155" s="15">
        <f t="shared" si="20"/>
        <v>13</v>
      </c>
      <c r="S155" s="15">
        <f t="shared" si="21"/>
        <v>390</v>
      </c>
      <c r="T155" s="4">
        <f t="shared" si="22"/>
        <v>14.5</v>
      </c>
      <c r="U155" s="3">
        <f t="shared" si="23"/>
        <v>435</v>
      </c>
      <c r="V155" s="19"/>
    </row>
    <row r="156" spans="1:22" x14ac:dyDescent="0.3">
      <c r="A156" s="7"/>
      <c r="B156" s="62" t="s">
        <v>243</v>
      </c>
      <c r="C156" s="13" t="s">
        <v>17</v>
      </c>
      <c r="D156" s="65"/>
      <c r="E156" s="65"/>
      <c r="F156" s="65"/>
      <c r="G156" s="64">
        <v>3</v>
      </c>
      <c r="H156" s="15">
        <v>90</v>
      </c>
      <c r="I156" s="15">
        <v>30</v>
      </c>
      <c r="J156" s="3">
        <v>0.5</v>
      </c>
      <c r="K156" s="15">
        <f t="shared" si="16"/>
        <v>15</v>
      </c>
      <c r="L156" s="17">
        <v>2</v>
      </c>
      <c r="M156" s="15">
        <f t="shared" si="17"/>
        <v>1</v>
      </c>
      <c r="N156" s="15">
        <f t="shared" si="18"/>
        <v>30</v>
      </c>
      <c r="O156" s="3">
        <v>0.5</v>
      </c>
      <c r="P156" s="15">
        <f t="shared" si="19"/>
        <v>15</v>
      </c>
      <c r="Q156" s="17">
        <v>8</v>
      </c>
      <c r="R156" s="15">
        <f t="shared" si="20"/>
        <v>4</v>
      </c>
      <c r="S156" s="15">
        <f t="shared" si="21"/>
        <v>120</v>
      </c>
      <c r="T156" s="4">
        <f t="shared" si="22"/>
        <v>5</v>
      </c>
      <c r="U156" s="3">
        <f t="shared" si="23"/>
        <v>150</v>
      </c>
      <c r="V156" s="19"/>
    </row>
    <row r="157" spans="1:22" x14ac:dyDescent="0.3">
      <c r="A157" s="7"/>
      <c r="B157" s="63"/>
      <c r="C157" s="13" t="s">
        <v>18</v>
      </c>
      <c r="D157" s="65"/>
      <c r="E157" s="65"/>
      <c r="F157" s="65"/>
      <c r="G157" s="66"/>
      <c r="H157" s="15">
        <v>90</v>
      </c>
      <c r="I157" s="15">
        <v>30</v>
      </c>
      <c r="J157" s="3">
        <v>0.5</v>
      </c>
      <c r="K157" s="15">
        <f t="shared" si="16"/>
        <v>15</v>
      </c>
      <c r="L157" s="17">
        <v>1</v>
      </c>
      <c r="M157" s="15">
        <f t="shared" si="17"/>
        <v>0.5</v>
      </c>
      <c r="N157" s="15">
        <f t="shared" si="18"/>
        <v>15</v>
      </c>
      <c r="O157" s="3">
        <v>0.5</v>
      </c>
      <c r="P157" s="15">
        <f t="shared" si="19"/>
        <v>15</v>
      </c>
      <c r="Q157" s="17">
        <v>2</v>
      </c>
      <c r="R157" s="15">
        <f t="shared" si="20"/>
        <v>1</v>
      </c>
      <c r="S157" s="15">
        <f t="shared" si="21"/>
        <v>30</v>
      </c>
      <c r="T157" s="4">
        <f t="shared" si="22"/>
        <v>1.5</v>
      </c>
      <c r="U157" s="3">
        <f t="shared" si="23"/>
        <v>45</v>
      </c>
      <c r="V157" s="19"/>
    </row>
    <row r="158" spans="1:22" ht="30" customHeight="1" x14ac:dyDescent="0.3">
      <c r="B158" s="62" t="s">
        <v>244</v>
      </c>
      <c r="C158" s="13" t="s">
        <v>17</v>
      </c>
      <c r="D158" s="65"/>
      <c r="E158" s="65"/>
      <c r="F158" s="65"/>
      <c r="G158" s="64">
        <v>3</v>
      </c>
      <c r="H158" s="15">
        <v>90</v>
      </c>
      <c r="I158" s="15">
        <v>30</v>
      </c>
      <c r="J158" s="3">
        <v>0.5</v>
      </c>
      <c r="K158" s="15">
        <f t="shared" si="16"/>
        <v>15</v>
      </c>
      <c r="L158" s="17">
        <v>2</v>
      </c>
      <c r="M158" s="15">
        <f t="shared" si="17"/>
        <v>1</v>
      </c>
      <c r="N158" s="15">
        <f t="shared" si="18"/>
        <v>30</v>
      </c>
      <c r="O158" s="3">
        <v>0.5</v>
      </c>
      <c r="P158" s="15">
        <f t="shared" si="19"/>
        <v>15</v>
      </c>
      <c r="Q158" s="17">
        <v>8</v>
      </c>
      <c r="R158" s="15">
        <f t="shared" si="20"/>
        <v>4</v>
      </c>
      <c r="S158" s="15">
        <f t="shared" si="21"/>
        <v>120</v>
      </c>
      <c r="T158" s="4">
        <f t="shared" si="22"/>
        <v>5</v>
      </c>
      <c r="U158" s="3">
        <f t="shared" si="23"/>
        <v>150</v>
      </c>
      <c r="V158" s="19"/>
    </row>
    <row r="159" spans="1:22" ht="25.2" customHeight="1" x14ac:dyDescent="0.3">
      <c r="B159" s="63"/>
      <c r="C159" s="13" t="s">
        <v>18</v>
      </c>
      <c r="D159" s="65"/>
      <c r="E159" s="65"/>
      <c r="F159" s="65"/>
      <c r="G159" s="66"/>
      <c r="H159" s="15">
        <v>90</v>
      </c>
      <c r="I159" s="15">
        <v>30</v>
      </c>
      <c r="J159" s="3">
        <v>0.5</v>
      </c>
      <c r="K159" s="15">
        <f t="shared" si="16"/>
        <v>15</v>
      </c>
      <c r="L159" s="17">
        <v>1</v>
      </c>
      <c r="M159" s="15">
        <f t="shared" si="17"/>
        <v>0.5</v>
      </c>
      <c r="N159" s="15">
        <f t="shared" si="18"/>
        <v>15</v>
      </c>
      <c r="O159" s="3">
        <v>0.5</v>
      </c>
      <c r="P159" s="15">
        <f t="shared" si="19"/>
        <v>15</v>
      </c>
      <c r="Q159" s="17">
        <v>2</v>
      </c>
      <c r="R159" s="15">
        <f t="shared" si="20"/>
        <v>1</v>
      </c>
      <c r="S159" s="15">
        <f t="shared" si="21"/>
        <v>30</v>
      </c>
      <c r="T159" s="4">
        <f t="shared" si="22"/>
        <v>1.5</v>
      </c>
      <c r="U159" s="3">
        <f t="shared" si="23"/>
        <v>45</v>
      </c>
      <c r="V159" s="19"/>
    </row>
    <row r="160" spans="1:22" ht="37.200000000000003" customHeight="1" x14ac:dyDescent="0.3">
      <c r="B160" s="62" t="s">
        <v>487</v>
      </c>
      <c r="C160" s="13" t="s">
        <v>17</v>
      </c>
      <c r="D160" s="65"/>
      <c r="E160" s="65"/>
      <c r="F160" s="65"/>
      <c r="G160" s="64">
        <v>3</v>
      </c>
      <c r="H160" s="15">
        <v>90</v>
      </c>
      <c r="I160" s="15">
        <v>30</v>
      </c>
      <c r="J160" s="3">
        <v>0.5</v>
      </c>
      <c r="K160" s="15">
        <f t="shared" si="16"/>
        <v>15</v>
      </c>
      <c r="L160" s="17">
        <v>2</v>
      </c>
      <c r="M160" s="15">
        <f t="shared" si="17"/>
        <v>1</v>
      </c>
      <c r="N160" s="15">
        <f t="shared" si="18"/>
        <v>30</v>
      </c>
      <c r="O160" s="3">
        <v>0.5</v>
      </c>
      <c r="P160" s="15">
        <f t="shared" si="19"/>
        <v>15</v>
      </c>
      <c r="Q160" s="17">
        <v>8</v>
      </c>
      <c r="R160" s="15">
        <f t="shared" si="20"/>
        <v>4</v>
      </c>
      <c r="S160" s="15">
        <f t="shared" si="21"/>
        <v>120</v>
      </c>
      <c r="T160" s="4">
        <f t="shared" si="22"/>
        <v>5</v>
      </c>
      <c r="U160" s="3">
        <f t="shared" si="23"/>
        <v>150</v>
      </c>
      <c r="V160" s="19"/>
    </row>
    <row r="161" spans="1:22" ht="37.950000000000003" customHeight="1" x14ac:dyDescent="0.3">
      <c r="B161" s="63"/>
      <c r="C161" s="13" t="s">
        <v>18</v>
      </c>
      <c r="D161" s="65"/>
      <c r="E161" s="65"/>
      <c r="F161" s="65"/>
      <c r="G161" s="66"/>
      <c r="H161" s="15">
        <v>90</v>
      </c>
      <c r="I161" s="15">
        <v>30</v>
      </c>
      <c r="J161" s="3">
        <v>0.5</v>
      </c>
      <c r="K161" s="15">
        <f t="shared" si="16"/>
        <v>15</v>
      </c>
      <c r="L161" s="17">
        <v>1</v>
      </c>
      <c r="M161" s="15">
        <f t="shared" si="17"/>
        <v>0.5</v>
      </c>
      <c r="N161" s="15">
        <f t="shared" si="18"/>
        <v>15</v>
      </c>
      <c r="O161" s="3">
        <v>0.5</v>
      </c>
      <c r="P161" s="15">
        <f t="shared" si="19"/>
        <v>15</v>
      </c>
      <c r="Q161" s="17">
        <v>2</v>
      </c>
      <c r="R161" s="15">
        <f t="shared" si="20"/>
        <v>1</v>
      </c>
      <c r="S161" s="15">
        <f t="shared" si="21"/>
        <v>30</v>
      </c>
      <c r="T161" s="4">
        <f t="shared" si="22"/>
        <v>1.5</v>
      </c>
      <c r="U161" s="3">
        <f t="shared" si="23"/>
        <v>45</v>
      </c>
      <c r="V161" s="19"/>
    </row>
    <row r="162" spans="1:22" ht="36" customHeight="1" x14ac:dyDescent="0.35">
      <c r="A162" s="8"/>
      <c r="B162" s="62" t="s">
        <v>394</v>
      </c>
      <c r="C162" s="13" t="s">
        <v>17</v>
      </c>
      <c r="D162" s="65"/>
      <c r="E162" s="65"/>
      <c r="F162" s="65"/>
      <c r="G162" s="87">
        <v>3</v>
      </c>
      <c r="H162" s="15">
        <v>90</v>
      </c>
      <c r="I162" s="15">
        <v>30</v>
      </c>
      <c r="J162" s="3">
        <v>0.5</v>
      </c>
      <c r="K162" s="15">
        <f t="shared" si="16"/>
        <v>15</v>
      </c>
      <c r="L162" s="17">
        <v>2</v>
      </c>
      <c r="M162" s="15">
        <f t="shared" si="17"/>
        <v>1</v>
      </c>
      <c r="N162" s="15">
        <f t="shared" si="18"/>
        <v>30</v>
      </c>
      <c r="O162" s="3">
        <v>0.5</v>
      </c>
      <c r="P162" s="15">
        <f t="shared" si="19"/>
        <v>15</v>
      </c>
      <c r="Q162" s="17">
        <v>8</v>
      </c>
      <c r="R162" s="15">
        <f t="shared" si="20"/>
        <v>4</v>
      </c>
      <c r="S162" s="15">
        <f t="shared" si="21"/>
        <v>120</v>
      </c>
      <c r="T162" s="4">
        <f t="shared" si="22"/>
        <v>5</v>
      </c>
      <c r="U162" s="3">
        <f t="shared" si="23"/>
        <v>150</v>
      </c>
      <c r="V162" s="10"/>
    </row>
    <row r="163" spans="1:22" ht="37.200000000000003" customHeight="1" x14ac:dyDescent="0.35">
      <c r="A163" s="8"/>
      <c r="B163" s="63"/>
      <c r="C163" s="13" t="s">
        <v>18</v>
      </c>
      <c r="D163" s="66"/>
      <c r="E163" s="66"/>
      <c r="F163" s="66"/>
      <c r="G163" s="88"/>
      <c r="H163" s="15">
        <v>90</v>
      </c>
      <c r="I163" s="15">
        <v>30</v>
      </c>
      <c r="J163" s="3">
        <v>0.5</v>
      </c>
      <c r="K163" s="15">
        <f t="shared" si="16"/>
        <v>15</v>
      </c>
      <c r="L163" s="17">
        <v>1</v>
      </c>
      <c r="M163" s="15">
        <f t="shared" si="17"/>
        <v>0.5</v>
      </c>
      <c r="N163" s="15">
        <f t="shared" si="18"/>
        <v>15</v>
      </c>
      <c r="O163" s="3">
        <v>0.5</v>
      </c>
      <c r="P163" s="15">
        <f t="shared" si="19"/>
        <v>15</v>
      </c>
      <c r="Q163" s="17">
        <v>2</v>
      </c>
      <c r="R163" s="15">
        <f t="shared" si="20"/>
        <v>1</v>
      </c>
      <c r="S163" s="15">
        <f t="shared" si="21"/>
        <v>30</v>
      </c>
      <c r="T163" s="4">
        <f t="shared" si="22"/>
        <v>1.5</v>
      </c>
      <c r="U163" s="3">
        <f t="shared" si="23"/>
        <v>45</v>
      </c>
      <c r="V163" s="20"/>
    </row>
    <row r="164" spans="1:22" ht="36" customHeight="1" x14ac:dyDescent="0.3">
      <c r="A164" s="8"/>
      <c r="B164" s="14" t="s">
        <v>405</v>
      </c>
      <c r="C164" s="64" t="s">
        <v>206</v>
      </c>
      <c r="D164" s="64">
        <v>84</v>
      </c>
      <c r="E164" s="64">
        <v>27</v>
      </c>
      <c r="F164" s="64" t="s">
        <v>29</v>
      </c>
      <c r="G164" s="16">
        <v>6</v>
      </c>
      <c r="H164" s="15">
        <v>180</v>
      </c>
      <c r="I164" s="15">
        <v>60</v>
      </c>
      <c r="J164" s="3">
        <v>1</v>
      </c>
      <c r="K164" s="15">
        <f t="shared" si="16"/>
        <v>30</v>
      </c>
      <c r="L164" s="39">
        <v>4</v>
      </c>
      <c r="M164" s="15">
        <f t="shared" si="17"/>
        <v>4</v>
      </c>
      <c r="N164" s="15">
        <f t="shared" si="18"/>
        <v>120</v>
      </c>
      <c r="O164" s="3">
        <v>1</v>
      </c>
      <c r="P164" s="15">
        <f t="shared" si="19"/>
        <v>30</v>
      </c>
      <c r="Q164" s="9">
        <v>6</v>
      </c>
      <c r="R164" s="15">
        <f t="shared" si="20"/>
        <v>6</v>
      </c>
      <c r="S164" s="15">
        <f t="shared" si="21"/>
        <v>180</v>
      </c>
      <c r="T164" s="4">
        <f t="shared" si="22"/>
        <v>10</v>
      </c>
      <c r="U164" s="3">
        <f t="shared" si="23"/>
        <v>300</v>
      </c>
      <c r="V164" s="34" t="s">
        <v>538</v>
      </c>
    </row>
    <row r="165" spans="1:22" ht="20.55" customHeight="1" x14ac:dyDescent="0.3">
      <c r="A165" s="7"/>
      <c r="B165" s="14" t="s">
        <v>406</v>
      </c>
      <c r="C165" s="65"/>
      <c r="D165" s="65"/>
      <c r="E165" s="65"/>
      <c r="F165" s="65"/>
      <c r="G165" s="12">
        <v>6</v>
      </c>
      <c r="H165" s="15">
        <v>180</v>
      </c>
      <c r="I165" s="15">
        <v>60</v>
      </c>
      <c r="J165" s="3">
        <v>0</v>
      </c>
      <c r="K165" s="15">
        <v>0</v>
      </c>
      <c r="L165" s="17">
        <v>0</v>
      </c>
      <c r="M165" s="15">
        <f t="shared" si="17"/>
        <v>0</v>
      </c>
      <c r="N165" s="15">
        <f t="shared" si="18"/>
        <v>0</v>
      </c>
      <c r="O165" s="3">
        <v>2</v>
      </c>
      <c r="P165" s="15">
        <f t="shared" si="19"/>
        <v>60</v>
      </c>
      <c r="Q165" s="9">
        <v>6</v>
      </c>
      <c r="R165" s="15">
        <f t="shared" si="20"/>
        <v>12</v>
      </c>
      <c r="S165" s="15">
        <f t="shared" si="21"/>
        <v>360</v>
      </c>
      <c r="T165" s="4">
        <f t="shared" si="22"/>
        <v>12</v>
      </c>
      <c r="U165" s="3">
        <f t="shared" si="23"/>
        <v>360</v>
      </c>
      <c r="V165" s="19"/>
    </row>
    <row r="166" spans="1:22" x14ac:dyDescent="0.3">
      <c r="A166" s="7"/>
      <c r="B166" s="14" t="s">
        <v>203</v>
      </c>
      <c r="C166" s="65"/>
      <c r="D166" s="65"/>
      <c r="E166" s="65"/>
      <c r="F166" s="65"/>
      <c r="G166" s="12">
        <v>6</v>
      </c>
      <c r="H166" s="15">
        <v>180</v>
      </c>
      <c r="I166" s="15">
        <v>60</v>
      </c>
      <c r="J166" s="3">
        <v>1</v>
      </c>
      <c r="K166" s="15">
        <f t="shared" si="16"/>
        <v>30</v>
      </c>
      <c r="L166" s="17">
        <v>2</v>
      </c>
      <c r="M166" s="15">
        <f t="shared" si="17"/>
        <v>2</v>
      </c>
      <c r="N166" s="15">
        <f t="shared" si="18"/>
        <v>60</v>
      </c>
      <c r="O166" s="3">
        <v>1</v>
      </c>
      <c r="P166" s="15">
        <f t="shared" si="19"/>
        <v>30</v>
      </c>
      <c r="Q166" s="9">
        <v>6</v>
      </c>
      <c r="R166" s="15">
        <f t="shared" si="20"/>
        <v>6</v>
      </c>
      <c r="S166" s="15">
        <f t="shared" si="21"/>
        <v>180</v>
      </c>
      <c r="T166" s="4">
        <f t="shared" si="22"/>
        <v>8</v>
      </c>
      <c r="U166" s="3">
        <f t="shared" si="23"/>
        <v>240</v>
      </c>
      <c r="V166" s="19"/>
    </row>
    <row r="167" spans="1:22" ht="72" x14ac:dyDescent="0.3">
      <c r="A167" s="7"/>
      <c r="B167" s="14" t="s">
        <v>407</v>
      </c>
      <c r="C167" s="65"/>
      <c r="D167" s="65"/>
      <c r="E167" s="65"/>
      <c r="F167" s="65"/>
      <c r="G167" s="12">
        <v>6</v>
      </c>
      <c r="H167" s="15">
        <v>180</v>
      </c>
      <c r="I167" s="15">
        <v>60</v>
      </c>
      <c r="J167" s="3">
        <v>1</v>
      </c>
      <c r="K167" s="15">
        <f t="shared" si="16"/>
        <v>30</v>
      </c>
      <c r="L167" s="17">
        <v>2</v>
      </c>
      <c r="M167" s="15">
        <f t="shared" si="17"/>
        <v>2</v>
      </c>
      <c r="N167" s="15">
        <f t="shared" si="18"/>
        <v>60</v>
      </c>
      <c r="O167" s="3">
        <v>1</v>
      </c>
      <c r="P167" s="15">
        <f t="shared" si="19"/>
        <v>30</v>
      </c>
      <c r="Q167" s="9">
        <v>6</v>
      </c>
      <c r="R167" s="15">
        <f t="shared" si="20"/>
        <v>6</v>
      </c>
      <c r="S167" s="15">
        <f t="shared" si="21"/>
        <v>180</v>
      </c>
      <c r="T167" s="4">
        <f t="shared" si="22"/>
        <v>8</v>
      </c>
      <c r="U167" s="3">
        <f t="shared" si="23"/>
        <v>240</v>
      </c>
      <c r="V167" s="19"/>
    </row>
    <row r="168" spans="1:22" ht="54" x14ac:dyDescent="0.3">
      <c r="A168" s="7"/>
      <c r="B168" s="14" t="s">
        <v>488</v>
      </c>
      <c r="C168" s="66"/>
      <c r="D168" s="65"/>
      <c r="E168" s="65"/>
      <c r="F168" s="65"/>
      <c r="G168" s="12">
        <v>6</v>
      </c>
      <c r="H168" s="15">
        <v>180</v>
      </c>
      <c r="I168" s="15">
        <v>60</v>
      </c>
      <c r="J168" s="3">
        <v>1</v>
      </c>
      <c r="K168" s="15">
        <f t="shared" si="16"/>
        <v>30</v>
      </c>
      <c r="L168" s="17">
        <v>2</v>
      </c>
      <c r="M168" s="15">
        <f t="shared" si="17"/>
        <v>2</v>
      </c>
      <c r="N168" s="15">
        <f t="shared" si="18"/>
        <v>60</v>
      </c>
      <c r="O168" s="3">
        <v>1</v>
      </c>
      <c r="P168" s="15">
        <f t="shared" si="19"/>
        <v>30</v>
      </c>
      <c r="Q168" s="9">
        <v>6</v>
      </c>
      <c r="R168" s="15">
        <f t="shared" si="20"/>
        <v>6</v>
      </c>
      <c r="S168" s="15">
        <f t="shared" si="21"/>
        <v>180</v>
      </c>
      <c r="T168" s="4">
        <f t="shared" si="22"/>
        <v>8</v>
      </c>
      <c r="U168" s="3">
        <f t="shared" si="23"/>
        <v>240</v>
      </c>
      <c r="V168" s="19"/>
    </row>
    <row r="169" spans="1:22" ht="24.75" customHeight="1" x14ac:dyDescent="0.3">
      <c r="A169" s="7"/>
      <c r="B169" s="68" t="s">
        <v>489</v>
      </c>
      <c r="C169" s="13" t="s">
        <v>17</v>
      </c>
      <c r="D169" s="64">
        <v>27</v>
      </c>
      <c r="E169" s="64">
        <v>42</v>
      </c>
      <c r="F169" s="64" t="s">
        <v>490</v>
      </c>
      <c r="G169" s="64">
        <v>4</v>
      </c>
      <c r="H169" s="15">
        <v>120</v>
      </c>
      <c r="I169" s="15">
        <v>45</v>
      </c>
      <c r="J169" s="3">
        <v>0</v>
      </c>
      <c r="K169" s="15">
        <f t="shared" si="16"/>
        <v>0</v>
      </c>
      <c r="L169" s="17">
        <v>0</v>
      </c>
      <c r="M169" s="15">
        <f t="shared" si="17"/>
        <v>0</v>
      </c>
      <c r="N169" s="15">
        <f t="shared" si="18"/>
        <v>0</v>
      </c>
      <c r="O169" s="3">
        <v>1.5</v>
      </c>
      <c r="P169" s="15">
        <f t="shared" si="19"/>
        <v>45</v>
      </c>
      <c r="Q169" s="17">
        <v>2</v>
      </c>
      <c r="R169" s="15">
        <f t="shared" si="20"/>
        <v>3</v>
      </c>
      <c r="S169" s="15">
        <f t="shared" si="21"/>
        <v>90</v>
      </c>
      <c r="T169" s="4">
        <f t="shared" si="22"/>
        <v>3</v>
      </c>
      <c r="U169" s="3">
        <f t="shared" si="23"/>
        <v>90</v>
      </c>
      <c r="V169" s="19"/>
    </row>
    <row r="170" spans="1:22" x14ac:dyDescent="0.3">
      <c r="A170" s="7"/>
      <c r="B170" s="69"/>
      <c r="C170" s="13" t="s">
        <v>18</v>
      </c>
      <c r="D170" s="66"/>
      <c r="E170" s="66"/>
      <c r="F170" s="66"/>
      <c r="G170" s="66"/>
      <c r="H170" s="15">
        <v>120</v>
      </c>
      <c r="I170" s="15">
        <v>45</v>
      </c>
      <c r="J170" s="3">
        <v>0</v>
      </c>
      <c r="K170" s="15">
        <f t="shared" si="16"/>
        <v>0</v>
      </c>
      <c r="L170" s="17">
        <v>0</v>
      </c>
      <c r="M170" s="15">
        <f t="shared" si="17"/>
        <v>0</v>
      </c>
      <c r="N170" s="15">
        <f t="shared" si="18"/>
        <v>0</v>
      </c>
      <c r="O170" s="3">
        <v>1.5</v>
      </c>
      <c r="P170" s="15">
        <f t="shared" si="19"/>
        <v>45</v>
      </c>
      <c r="Q170" s="17">
        <v>2</v>
      </c>
      <c r="R170" s="15">
        <f t="shared" si="20"/>
        <v>3</v>
      </c>
      <c r="S170" s="15">
        <f t="shared" si="21"/>
        <v>90</v>
      </c>
      <c r="T170" s="4">
        <f t="shared" si="22"/>
        <v>3</v>
      </c>
      <c r="U170" s="3">
        <f t="shared" si="23"/>
        <v>90</v>
      </c>
      <c r="V170" s="19"/>
    </row>
  </sheetData>
  <autoFilter ref="A4:V170" xr:uid="{00000000-0009-0000-0000-000007000000}"/>
  <mergeCells count="200">
    <mergeCell ref="B158:B159"/>
    <mergeCell ref="G158:G159"/>
    <mergeCell ref="B156:B157"/>
    <mergeCell ref="B131:B132"/>
    <mergeCell ref="G131:G132"/>
    <mergeCell ref="F121:F132"/>
    <mergeCell ref="B129:B130"/>
    <mergeCell ref="B127:B128"/>
    <mergeCell ref="B125:B126"/>
    <mergeCell ref="B123:B124"/>
    <mergeCell ref="B121:B122"/>
    <mergeCell ref="D121:D132"/>
    <mergeCell ref="E121:E132"/>
    <mergeCell ref="G169:G170"/>
    <mergeCell ref="F169:F170"/>
    <mergeCell ref="F49:F56"/>
    <mergeCell ref="F57:F61"/>
    <mergeCell ref="F62:F67"/>
    <mergeCell ref="F13:F16"/>
    <mergeCell ref="F17:F28"/>
    <mergeCell ref="F29:F36"/>
    <mergeCell ref="F37:F48"/>
    <mergeCell ref="G156:G157"/>
    <mergeCell ref="G151:G152"/>
    <mergeCell ref="G129:G130"/>
    <mergeCell ref="G127:G128"/>
    <mergeCell ref="G125:G126"/>
    <mergeCell ref="G123:G124"/>
    <mergeCell ref="G121:G122"/>
    <mergeCell ref="F87:F96"/>
    <mergeCell ref="F133:F138"/>
    <mergeCell ref="F139:F144"/>
    <mergeCell ref="G162:G163"/>
    <mergeCell ref="F151:F163"/>
    <mergeCell ref="G160:G161"/>
    <mergeCell ref="B119:B120"/>
    <mergeCell ref="G119:G120"/>
    <mergeCell ref="F109:F120"/>
    <mergeCell ref="B117:B118"/>
    <mergeCell ref="G117:G118"/>
    <mergeCell ref="B115:B116"/>
    <mergeCell ref="G115:G116"/>
    <mergeCell ref="B113:B114"/>
    <mergeCell ref="G113:G114"/>
    <mergeCell ref="B111:B112"/>
    <mergeCell ref="G111:G112"/>
    <mergeCell ref="B109:B110"/>
    <mergeCell ref="G109:G110"/>
    <mergeCell ref="D109:D120"/>
    <mergeCell ref="E109:E120"/>
    <mergeCell ref="B93:B94"/>
    <mergeCell ref="G93:G94"/>
    <mergeCell ref="B91:B92"/>
    <mergeCell ref="G91:G92"/>
    <mergeCell ref="B89:B90"/>
    <mergeCell ref="G89:G90"/>
    <mergeCell ref="B87:B88"/>
    <mergeCell ref="B107:B108"/>
    <mergeCell ref="G107:G108"/>
    <mergeCell ref="F97:F108"/>
    <mergeCell ref="B105:B106"/>
    <mergeCell ref="G105:G106"/>
    <mergeCell ref="B103:B104"/>
    <mergeCell ref="G103:G104"/>
    <mergeCell ref="B101:B102"/>
    <mergeCell ref="G101:G102"/>
    <mergeCell ref="B99:B100"/>
    <mergeCell ref="G99:G100"/>
    <mergeCell ref="B97:B98"/>
    <mergeCell ref="G97:G98"/>
    <mergeCell ref="D97:D108"/>
    <mergeCell ref="E97:E108"/>
    <mergeCell ref="C68:C74"/>
    <mergeCell ref="B75:B76"/>
    <mergeCell ref="G75:G76"/>
    <mergeCell ref="D75:D86"/>
    <mergeCell ref="E75:E86"/>
    <mergeCell ref="G87:G88"/>
    <mergeCell ref="B85:B86"/>
    <mergeCell ref="G85:G86"/>
    <mergeCell ref="F75:F86"/>
    <mergeCell ref="B83:B84"/>
    <mergeCell ref="G83:G84"/>
    <mergeCell ref="B81:B82"/>
    <mergeCell ref="G81:G82"/>
    <mergeCell ref="B79:B80"/>
    <mergeCell ref="G79:G80"/>
    <mergeCell ref="B77:B78"/>
    <mergeCell ref="G77:G78"/>
    <mergeCell ref="F68:F74"/>
    <mergeCell ref="E68:E74"/>
    <mergeCell ref="D68:D74"/>
    <mergeCell ref="D87:D96"/>
    <mergeCell ref="E87:E96"/>
    <mergeCell ref="B95:B96"/>
    <mergeCell ref="G95:G96"/>
    <mergeCell ref="D49:D56"/>
    <mergeCell ref="E49:E56"/>
    <mergeCell ref="C49:C56"/>
    <mergeCell ref="C57:C61"/>
    <mergeCell ref="C62:C67"/>
    <mergeCell ref="D57:D61"/>
    <mergeCell ref="E57:E61"/>
    <mergeCell ref="D62:D67"/>
    <mergeCell ref="E62:E67"/>
    <mergeCell ref="B41:B42"/>
    <mergeCell ref="G41:G42"/>
    <mergeCell ref="B39:B40"/>
    <mergeCell ref="G39:G40"/>
    <mergeCell ref="B37:B38"/>
    <mergeCell ref="G37:G38"/>
    <mergeCell ref="D37:D48"/>
    <mergeCell ref="E37:E48"/>
    <mergeCell ref="B47:B48"/>
    <mergeCell ref="G47:G48"/>
    <mergeCell ref="B45:B46"/>
    <mergeCell ref="G45:G46"/>
    <mergeCell ref="B43:B44"/>
    <mergeCell ref="G43:G44"/>
    <mergeCell ref="B25:B26"/>
    <mergeCell ref="G25:G26"/>
    <mergeCell ref="B23:B24"/>
    <mergeCell ref="B17:B18"/>
    <mergeCell ref="G17:G18"/>
    <mergeCell ref="B19:B20"/>
    <mergeCell ref="G13:G14"/>
    <mergeCell ref="D29:D36"/>
    <mergeCell ref="E29:E36"/>
    <mergeCell ref="D17:D28"/>
    <mergeCell ref="E17:E28"/>
    <mergeCell ref="C29:C36"/>
    <mergeCell ref="B21:B22"/>
    <mergeCell ref="G21:G22"/>
    <mergeCell ref="B27:B28"/>
    <mergeCell ref="G27:G28"/>
    <mergeCell ref="G23:G24"/>
    <mergeCell ref="G19:G20"/>
    <mergeCell ref="B5:B6"/>
    <mergeCell ref="G5:G6"/>
    <mergeCell ref="G11:G12"/>
    <mergeCell ref="B15:B16"/>
    <mergeCell ref="G15:G16"/>
    <mergeCell ref="B7:B8"/>
    <mergeCell ref="B13:B14"/>
    <mergeCell ref="D13:D16"/>
    <mergeCell ref="E13:E16"/>
    <mergeCell ref="E5:E8"/>
    <mergeCell ref="D5:D8"/>
    <mergeCell ref="G7:G8"/>
    <mergeCell ref="B11:B12"/>
    <mergeCell ref="F5:F8"/>
    <mergeCell ref="F9:F12"/>
    <mergeCell ref="U2:U4"/>
    <mergeCell ref="V2:V4"/>
    <mergeCell ref="B9:B10"/>
    <mergeCell ref="G9:G10"/>
    <mergeCell ref="O2:O4"/>
    <mergeCell ref="P2:P4"/>
    <mergeCell ref="Q2:Q4"/>
    <mergeCell ref="R2:R4"/>
    <mergeCell ref="S2:S4"/>
    <mergeCell ref="T2:T4"/>
    <mergeCell ref="I2:I4"/>
    <mergeCell ref="J2:J4"/>
    <mergeCell ref="K2:K4"/>
    <mergeCell ref="L2:L4"/>
    <mergeCell ref="G2:G4"/>
    <mergeCell ref="M2:M4"/>
    <mergeCell ref="N2:N4"/>
    <mergeCell ref="B2:B4"/>
    <mergeCell ref="C2:C4"/>
    <mergeCell ref="D2:E3"/>
    <mergeCell ref="F2:F4"/>
    <mergeCell ref="H2:H4"/>
    <mergeCell ref="D9:D12"/>
    <mergeCell ref="E9:E12"/>
    <mergeCell ref="E169:E170"/>
    <mergeCell ref="D169:D170"/>
    <mergeCell ref="E145:E150"/>
    <mergeCell ref="F145:F150"/>
    <mergeCell ref="A153:A155"/>
    <mergeCell ref="C139:C144"/>
    <mergeCell ref="C133:C138"/>
    <mergeCell ref="C164:C168"/>
    <mergeCell ref="C145:C150"/>
    <mergeCell ref="C153:C155"/>
    <mergeCell ref="D164:D168"/>
    <mergeCell ref="E164:E168"/>
    <mergeCell ref="D151:D163"/>
    <mergeCell ref="E151:E163"/>
    <mergeCell ref="D145:D150"/>
    <mergeCell ref="F164:F168"/>
    <mergeCell ref="D139:D144"/>
    <mergeCell ref="E139:E144"/>
    <mergeCell ref="D133:D138"/>
    <mergeCell ref="E133:E138"/>
    <mergeCell ref="B169:B170"/>
    <mergeCell ref="B151:B152"/>
    <mergeCell ref="B162:B163"/>
    <mergeCell ref="B160:B161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V22"/>
  <sheetViews>
    <sheetView zoomScale="40" zoomScaleNormal="4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F11" sqref="F11:F13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ht="36" x14ac:dyDescent="0.3">
      <c r="B5" s="14" t="s">
        <v>491</v>
      </c>
      <c r="C5" s="13" t="s">
        <v>206</v>
      </c>
      <c r="D5" s="64">
        <v>13</v>
      </c>
      <c r="E5" s="64">
        <v>9</v>
      </c>
      <c r="F5" s="64" t="s">
        <v>533</v>
      </c>
      <c r="G5" s="12">
        <v>3</v>
      </c>
      <c r="H5" s="15">
        <v>90</v>
      </c>
      <c r="I5" s="15">
        <v>30</v>
      </c>
      <c r="J5" s="3">
        <v>0</v>
      </c>
      <c r="K5" s="15">
        <f>J5*30</f>
        <v>0</v>
      </c>
      <c r="L5" s="17">
        <v>0</v>
      </c>
      <c r="M5" s="15">
        <f>J5*L5</f>
        <v>0</v>
      </c>
      <c r="N5" s="15">
        <f>K5*L5</f>
        <v>0</v>
      </c>
      <c r="O5" s="3">
        <v>1</v>
      </c>
      <c r="P5" s="15">
        <f>O5*30</f>
        <v>30</v>
      </c>
      <c r="Q5" s="17">
        <v>1</v>
      </c>
      <c r="R5" s="15">
        <f>O5*Q5</f>
        <v>1</v>
      </c>
      <c r="S5" s="15">
        <f>P5*Q5</f>
        <v>30</v>
      </c>
      <c r="T5" s="4">
        <f t="shared" ref="T5:U7" si="0">M5+R5</f>
        <v>1</v>
      </c>
      <c r="U5" s="3">
        <f t="shared" si="0"/>
        <v>30</v>
      </c>
      <c r="V5" s="19"/>
    </row>
    <row r="6" spans="1:22" ht="28.95" customHeight="1" x14ac:dyDescent="0.3">
      <c r="B6" s="62" t="s">
        <v>492</v>
      </c>
      <c r="C6" s="13" t="s">
        <v>17</v>
      </c>
      <c r="D6" s="65"/>
      <c r="E6" s="65"/>
      <c r="F6" s="65"/>
      <c r="G6" s="64">
        <v>6</v>
      </c>
      <c r="H6" s="15">
        <v>180</v>
      </c>
      <c r="I6" s="15">
        <v>60</v>
      </c>
      <c r="J6" s="3">
        <v>1</v>
      </c>
      <c r="K6" s="15">
        <f t="shared" ref="K6:K22" si="1">J6*30</f>
        <v>30</v>
      </c>
      <c r="L6" s="17">
        <v>1</v>
      </c>
      <c r="M6" s="15">
        <f t="shared" ref="M6:M22" si="2">J6*L6</f>
        <v>1</v>
      </c>
      <c r="N6" s="15">
        <f t="shared" ref="N6:N22" si="3">K6*L6</f>
        <v>30</v>
      </c>
      <c r="O6" s="3">
        <v>1</v>
      </c>
      <c r="P6" s="15">
        <f t="shared" ref="P6:P22" si="4">O6*30</f>
        <v>30</v>
      </c>
      <c r="Q6" s="17">
        <v>1</v>
      </c>
      <c r="R6" s="15">
        <f t="shared" ref="R6:R22" si="5">O6*Q6</f>
        <v>1</v>
      </c>
      <c r="S6" s="15">
        <f t="shared" ref="S6:S22" si="6">P6*Q6</f>
        <v>30</v>
      </c>
      <c r="T6" s="4">
        <f t="shared" si="0"/>
        <v>2</v>
      </c>
      <c r="U6" s="3">
        <f t="shared" si="0"/>
        <v>60</v>
      </c>
      <c r="V6" s="19"/>
    </row>
    <row r="7" spans="1:22" ht="27.6" customHeight="1" x14ac:dyDescent="0.3">
      <c r="B7" s="63"/>
      <c r="C7" s="13" t="s">
        <v>18</v>
      </c>
      <c r="D7" s="66"/>
      <c r="E7" s="66"/>
      <c r="F7" s="66"/>
      <c r="G7" s="66"/>
      <c r="H7" s="15">
        <v>180</v>
      </c>
      <c r="I7" s="15">
        <v>60</v>
      </c>
      <c r="J7" s="3">
        <v>1</v>
      </c>
      <c r="K7" s="15">
        <f t="shared" si="1"/>
        <v>30</v>
      </c>
      <c r="L7" s="17">
        <v>1</v>
      </c>
      <c r="M7" s="15">
        <f t="shared" si="2"/>
        <v>1</v>
      </c>
      <c r="N7" s="15">
        <f t="shared" si="3"/>
        <v>30</v>
      </c>
      <c r="O7" s="3">
        <v>1</v>
      </c>
      <c r="P7" s="15">
        <f t="shared" si="4"/>
        <v>30</v>
      </c>
      <c r="Q7" s="17">
        <v>1</v>
      </c>
      <c r="R7" s="15">
        <f t="shared" si="5"/>
        <v>1</v>
      </c>
      <c r="S7" s="15">
        <f t="shared" si="6"/>
        <v>30</v>
      </c>
      <c r="T7" s="4">
        <f t="shared" si="0"/>
        <v>2</v>
      </c>
      <c r="U7" s="3">
        <f t="shared" si="0"/>
        <v>60</v>
      </c>
      <c r="V7" s="19"/>
    </row>
    <row r="8" spans="1:22" x14ac:dyDescent="0.35">
      <c r="A8" s="8"/>
      <c r="B8" s="14" t="s">
        <v>493</v>
      </c>
      <c r="C8" s="64" t="s">
        <v>18</v>
      </c>
      <c r="D8" s="64"/>
      <c r="E8" s="64">
        <v>1</v>
      </c>
      <c r="F8" s="64" t="s">
        <v>501</v>
      </c>
      <c r="G8" s="16">
        <v>5</v>
      </c>
      <c r="H8" s="15">
        <v>150</v>
      </c>
      <c r="I8" s="15">
        <v>45</v>
      </c>
      <c r="J8" s="3">
        <v>0.5</v>
      </c>
      <c r="K8" s="15">
        <f t="shared" si="1"/>
        <v>15</v>
      </c>
      <c r="L8" s="17">
        <v>1</v>
      </c>
      <c r="M8" s="15">
        <f t="shared" si="2"/>
        <v>0.5</v>
      </c>
      <c r="N8" s="15">
        <f t="shared" si="3"/>
        <v>15</v>
      </c>
      <c r="O8" s="3">
        <v>1</v>
      </c>
      <c r="P8" s="15">
        <f t="shared" si="4"/>
        <v>30</v>
      </c>
      <c r="Q8" s="17">
        <v>1</v>
      </c>
      <c r="R8" s="15">
        <f t="shared" si="5"/>
        <v>1</v>
      </c>
      <c r="S8" s="15">
        <f t="shared" si="6"/>
        <v>30</v>
      </c>
      <c r="T8" s="30">
        <v>0</v>
      </c>
      <c r="U8" s="28">
        <v>0</v>
      </c>
      <c r="V8" s="10"/>
    </row>
    <row r="9" spans="1:22" x14ac:dyDescent="0.3">
      <c r="A9" s="7"/>
      <c r="B9" s="14" t="s">
        <v>494</v>
      </c>
      <c r="C9" s="65"/>
      <c r="D9" s="65"/>
      <c r="E9" s="65"/>
      <c r="F9" s="65"/>
      <c r="G9" s="12">
        <v>3</v>
      </c>
      <c r="H9" s="15">
        <v>90</v>
      </c>
      <c r="I9" s="15">
        <v>30</v>
      </c>
      <c r="J9" s="3">
        <v>0.5</v>
      </c>
      <c r="K9" s="15">
        <f t="shared" si="1"/>
        <v>15</v>
      </c>
      <c r="L9" s="17">
        <v>1</v>
      </c>
      <c r="M9" s="15">
        <f t="shared" si="2"/>
        <v>0.5</v>
      </c>
      <c r="N9" s="15">
        <f t="shared" si="3"/>
        <v>15</v>
      </c>
      <c r="O9" s="3">
        <v>0.5</v>
      </c>
      <c r="P9" s="15">
        <f t="shared" si="4"/>
        <v>15</v>
      </c>
      <c r="Q9" s="17">
        <v>1</v>
      </c>
      <c r="R9" s="15">
        <f t="shared" si="5"/>
        <v>0.5</v>
      </c>
      <c r="S9" s="15">
        <f t="shared" si="6"/>
        <v>15</v>
      </c>
      <c r="T9" s="30">
        <v>0</v>
      </c>
      <c r="U9" s="28">
        <v>0</v>
      </c>
      <c r="V9" s="19"/>
    </row>
    <row r="10" spans="1:22" ht="36" x14ac:dyDescent="0.3">
      <c r="A10" s="7"/>
      <c r="B10" s="14" t="s">
        <v>495</v>
      </c>
      <c r="C10" s="66"/>
      <c r="D10" s="65"/>
      <c r="E10" s="65"/>
      <c r="F10" s="65"/>
      <c r="G10" s="12">
        <v>5</v>
      </c>
      <c r="H10" s="15">
        <v>150</v>
      </c>
      <c r="I10" s="15">
        <v>45</v>
      </c>
      <c r="J10" s="3">
        <v>0.5</v>
      </c>
      <c r="K10" s="15">
        <f t="shared" si="1"/>
        <v>15</v>
      </c>
      <c r="L10" s="17">
        <v>1</v>
      </c>
      <c r="M10" s="15">
        <f t="shared" si="2"/>
        <v>0.5</v>
      </c>
      <c r="N10" s="15">
        <f t="shared" si="3"/>
        <v>15</v>
      </c>
      <c r="O10" s="3">
        <v>1</v>
      </c>
      <c r="P10" s="15">
        <f t="shared" si="4"/>
        <v>30</v>
      </c>
      <c r="Q10" s="17">
        <v>1</v>
      </c>
      <c r="R10" s="15">
        <f t="shared" si="5"/>
        <v>1</v>
      </c>
      <c r="S10" s="15">
        <f t="shared" si="6"/>
        <v>30</v>
      </c>
      <c r="T10" s="30">
        <v>0</v>
      </c>
      <c r="U10" s="28">
        <v>0</v>
      </c>
      <c r="V10" s="19"/>
    </row>
    <row r="11" spans="1:22" ht="36" x14ac:dyDescent="0.3">
      <c r="A11" s="7"/>
      <c r="B11" s="14" t="s">
        <v>502</v>
      </c>
      <c r="C11" s="64" t="s">
        <v>17</v>
      </c>
      <c r="D11" s="64">
        <v>1</v>
      </c>
      <c r="E11" s="64"/>
      <c r="F11" s="64" t="s">
        <v>26</v>
      </c>
      <c r="G11" s="12">
        <v>5</v>
      </c>
      <c r="H11" s="15">
        <v>150</v>
      </c>
      <c r="I11" s="15">
        <v>45</v>
      </c>
      <c r="J11" s="3">
        <v>0.5</v>
      </c>
      <c r="K11" s="15">
        <f t="shared" si="1"/>
        <v>15</v>
      </c>
      <c r="L11" s="17">
        <v>1</v>
      </c>
      <c r="M11" s="15">
        <f t="shared" si="2"/>
        <v>0.5</v>
      </c>
      <c r="N11" s="15">
        <f t="shared" si="3"/>
        <v>15</v>
      </c>
      <c r="O11" s="3">
        <v>1</v>
      </c>
      <c r="P11" s="15">
        <f t="shared" si="4"/>
        <v>30</v>
      </c>
      <c r="Q11" s="17">
        <v>1</v>
      </c>
      <c r="R11" s="15">
        <f t="shared" si="5"/>
        <v>1</v>
      </c>
      <c r="S11" s="15">
        <f t="shared" si="6"/>
        <v>30</v>
      </c>
      <c r="T11" s="30">
        <v>0</v>
      </c>
      <c r="U11" s="28">
        <v>0</v>
      </c>
      <c r="V11" s="19"/>
    </row>
    <row r="12" spans="1:22" ht="36" x14ac:dyDescent="0.3">
      <c r="A12" s="7"/>
      <c r="B12" s="14" t="s">
        <v>503</v>
      </c>
      <c r="C12" s="65"/>
      <c r="D12" s="65"/>
      <c r="E12" s="65"/>
      <c r="F12" s="65"/>
      <c r="G12" s="12">
        <v>4</v>
      </c>
      <c r="H12" s="15">
        <v>120</v>
      </c>
      <c r="I12" s="15">
        <v>45</v>
      </c>
      <c r="J12" s="3">
        <v>0.5</v>
      </c>
      <c r="K12" s="15">
        <f t="shared" si="1"/>
        <v>15</v>
      </c>
      <c r="L12" s="17">
        <v>1</v>
      </c>
      <c r="M12" s="15">
        <f t="shared" si="2"/>
        <v>0.5</v>
      </c>
      <c r="N12" s="15">
        <f t="shared" si="3"/>
        <v>15</v>
      </c>
      <c r="O12" s="3">
        <v>1</v>
      </c>
      <c r="P12" s="15">
        <f t="shared" si="4"/>
        <v>30</v>
      </c>
      <c r="Q12" s="17">
        <v>1</v>
      </c>
      <c r="R12" s="15">
        <f t="shared" si="5"/>
        <v>1</v>
      </c>
      <c r="S12" s="15">
        <f t="shared" si="6"/>
        <v>30</v>
      </c>
      <c r="T12" s="30">
        <v>0</v>
      </c>
      <c r="U12" s="28">
        <v>0</v>
      </c>
      <c r="V12" s="19"/>
    </row>
    <row r="13" spans="1:22" ht="72" x14ac:dyDescent="0.3">
      <c r="A13" s="7"/>
      <c r="B13" s="14" t="s">
        <v>504</v>
      </c>
      <c r="C13" s="66"/>
      <c r="D13" s="65"/>
      <c r="E13" s="65"/>
      <c r="F13" s="65"/>
      <c r="G13" s="12">
        <v>4</v>
      </c>
      <c r="H13" s="15">
        <v>120</v>
      </c>
      <c r="I13" s="15">
        <v>45</v>
      </c>
      <c r="J13" s="3">
        <v>0.5</v>
      </c>
      <c r="K13" s="15">
        <f t="shared" si="1"/>
        <v>15</v>
      </c>
      <c r="L13" s="17">
        <v>1</v>
      </c>
      <c r="M13" s="15">
        <f t="shared" si="2"/>
        <v>0.5</v>
      </c>
      <c r="N13" s="15">
        <f t="shared" si="3"/>
        <v>15</v>
      </c>
      <c r="O13" s="3">
        <v>1</v>
      </c>
      <c r="P13" s="15">
        <f t="shared" si="4"/>
        <v>30</v>
      </c>
      <c r="Q13" s="17">
        <v>1</v>
      </c>
      <c r="R13" s="15">
        <f t="shared" si="5"/>
        <v>1</v>
      </c>
      <c r="S13" s="15">
        <f t="shared" si="6"/>
        <v>30</v>
      </c>
      <c r="T13" s="30">
        <v>0</v>
      </c>
      <c r="U13" s="28">
        <v>0</v>
      </c>
      <c r="V13" s="19"/>
    </row>
    <row r="14" spans="1:22" ht="36" x14ac:dyDescent="0.3">
      <c r="A14" s="7"/>
      <c r="B14" s="14" t="s">
        <v>510</v>
      </c>
      <c r="C14" s="64" t="s">
        <v>17</v>
      </c>
      <c r="D14" s="64">
        <v>1</v>
      </c>
      <c r="E14" s="64"/>
      <c r="F14" s="64" t="s">
        <v>281</v>
      </c>
      <c r="G14" s="12">
        <v>5</v>
      </c>
      <c r="H14" s="15">
        <v>150</v>
      </c>
      <c r="I14" s="15">
        <v>45</v>
      </c>
      <c r="J14" s="3">
        <v>0.5</v>
      </c>
      <c r="K14" s="15">
        <f t="shared" si="1"/>
        <v>15</v>
      </c>
      <c r="L14" s="17">
        <v>1</v>
      </c>
      <c r="M14" s="15">
        <f t="shared" si="2"/>
        <v>0.5</v>
      </c>
      <c r="N14" s="15">
        <f t="shared" si="3"/>
        <v>15</v>
      </c>
      <c r="O14" s="3">
        <v>1</v>
      </c>
      <c r="P14" s="15">
        <f t="shared" si="4"/>
        <v>30</v>
      </c>
      <c r="Q14" s="17">
        <v>1</v>
      </c>
      <c r="R14" s="15">
        <f t="shared" si="5"/>
        <v>1</v>
      </c>
      <c r="S14" s="15">
        <f t="shared" si="6"/>
        <v>30</v>
      </c>
      <c r="T14" s="30">
        <v>0</v>
      </c>
      <c r="U14" s="28">
        <v>0</v>
      </c>
      <c r="V14" s="19"/>
    </row>
    <row r="15" spans="1:22" ht="36" x14ac:dyDescent="0.3">
      <c r="A15" s="7"/>
      <c r="B15" s="14" t="s">
        <v>511</v>
      </c>
      <c r="C15" s="65"/>
      <c r="D15" s="65"/>
      <c r="E15" s="65"/>
      <c r="F15" s="65"/>
      <c r="G15" s="12">
        <v>4</v>
      </c>
      <c r="H15" s="15">
        <v>120</v>
      </c>
      <c r="I15" s="15">
        <v>45</v>
      </c>
      <c r="J15" s="3">
        <v>0.5</v>
      </c>
      <c r="K15" s="15">
        <f t="shared" si="1"/>
        <v>15</v>
      </c>
      <c r="L15" s="17">
        <v>1</v>
      </c>
      <c r="M15" s="15">
        <f t="shared" si="2"/>
        <v>0.5</v>
      </c>
      <c r="N15" s="15">
        <f t="shared" si="3"/>
        <v>15</v>
      </c>
      <c r="O15" s="3">
        <v>1</v>
      </c>
      <c r="P15" s="15">
        <f t="shared" si="4"/>
        <v>30</v>
      </c>
      <c r="Q15" s="17">
        <v>1</v>
      </c>
      <c r="R15" s="15">
        <f t="shared" si="5"/>
        <v>1</v>
      </c>
      <c r="S15" s="15">
        <f t="shared" si="6"/>
        <v>30</v>
      </c>
      <c r="T15" s="30">
        <v>0</v>
      </c>
      <c r="U15" s="28">
        <v>0</v>
      </c>
      <c r="V15" s="19"/>
    </row>
    <row r="16" spans="1:22" ht="54" x14ac:dyDescent="0.3">
      <c r="A16" s="7"/>
      <c r="B16" s="14" t="s">
        <v>512</v>
      </c>
      <c r="C16" s="66"/>
      <c r="D16" s="65"/>
      <c r="E16" s="65"/>
      <c r="F16" s="65"/>
      <c r="G16" s="12">
        <v>4</v>
      </c>
      <c r="H16" s="15">
        <v>120</v>
      </c>
      <c r="I16" s="15">
        <v>45</v>
      </c>
      <c r="J16" s="3">
        <v>0.5</v>
      </c>
      <c r="K16" s="15">
        <f t="shared" si="1"/>
        <v>15</v>
      </c>
      <c r="L16" s="17">
        <v>1</v>
      </c>
      <c r="M16" s="15">
        <f t="shared" si="2"/>
        <v>0.5</v>
      </c>
      <c r="N16" s="15">
        <f t="shared" si="3"/>
        <v>15</v>
      </c>
      <c r="O16" s="3">
        <v>1</v>
      </c>
      <c r="P16" s="15">
        <f t="shared" si="4"/>
        <v>30</v>
      </c>
      <c r="Q16" s="17">
        <v>1</v>
      </c>
      <c r="R16" s="15">
        <f t="shared" si="5"/>
        <v>1</v>
      </c>
      <c r="S16" s="15">
        <f t="shared" si="6"/>
        <v>30</v>
      </c>
      <c r="T16" s="30">
        <v>0</v>
      </c>
      <c r="U16" s="28">
        <v>0</v>
      </c>
      <c r="V16" s="19"/>
    </row>
    <row r="17" spans="1:22" ht="36" x14ac:dyDescent="0.3">
      <c r="B17" s="14" t="s">
        <v>518</v>
      </c>
      <c r="C17" s="64" t="s">
        <v>17</v>
      </c>
      <c r="D17" s="64">
        <v>1</v>
      </c>
      <c r="E17" s="64"/>
      <c r="F17" s="64" t="s">
        <v>28</v>
      </c>
      <c r="G17" s="12">
        <v>5</v>
      </c>
      <c r="H17" s="15">
        <v>150</v>
      </c>
      <c r="I17" s="15">
        <v>45</v>
      </c>
      <c r="J17" s="3">
        <v>0.5</v>
      </c>
      <c r="K17" s="15">
        <f t="shared" si="1"/>
        <v>15</v>
      </c>
      <c r="L17" s="17">
        <v>1</v>
      </c>
      <c r="M17" s="15">
        <f t="shared" si="2"/>
        <v>0.5</v>
      </c>
      <c r="N17" s="15">
        <f t="shared" si="3"/>
        <v>15</v>
      </c>
      <c r="O17" s="3">
        <v>1</v>
      </c>
      <c r="P17" s="15">
        <f t="shared" si="4"/>
        <v>30</v>
      </c>
      <c r="Q17" s="17">
        <v>1</v>
      </c>
      <c r="R17" s="15">
        <f t="shared" si="5"/>
        <v>1</v>
      </c>
      <c r="S17" s="15">
        <f t="shared" si="6"/>
        <v>30</v>
      </c>
      <c r="T17" s="30">
        <v>0</v>
      </c>
      <c r="U17" s="28">
        <v>0</v>
      </c>
      <c r="V17" s="19"/>
    </row>
    <row r="18" spans="1:22" x14ac:dyDescent="0.3">
      <c r="B18" s="14" t="s">
        <v>519</v>
      </c>
      <c r="C18" s="65"/>
      <c r="D18" s="65"/>
      <c r="E18" s="65"/>
      <c r="F18" s="65"/>
      <c r="G18" s="12">
        <v>4</v>
      </c>
      <c r="H18" s="15">
        <v>120</v>
      </c>
      <c r="I18" s="15">
        <v>45</v>
      </c>
      <c r="J18" s="3">
        <v>0.5</v>
      </c>
      <c r="K18" s="15">
        <f t="shared" si="1"/>
        <v>15</v>
      </c>
      <c r="L18" s="17">
        <v>1</v>
      </c>
      <c r="M18" s="15">
        <f t="shared" si="2"/>
        <v>0.5</v>
      </c>
      <c r="N18" s="15">
        <f t="shared" si="3"/>
        <v>15</v>
      </c>
      <c r="O18" s="3">
        <v>1</v>
      </c>
      <c r="P18" s="15">
        <f t="shared" si="4"/>
        <v>30</v>
      </c>
      <c r="Q18" s="17">
        <v>1</v>
      </c>
      <c r="R18" s="15">
        <f t="shared" si="5"/>
        <v>1</v>
      </c>
      <c r="S18" s="15">
        <f t="shared" si="6"/>
        <v>30</v>
      </c>
      <c r="T18" s="30">
        <v>0</v>
      </c>
      <c r="U18" s="28">
        <v>0</v>
      </c>
      <c r="V18" s="19"/>
    </row>
    <row r="19" spans="1:22" ht="54" x14ac:dyDescent="0.3">
      <c r="B19" s="14" t="s">
        <v>520</v>
      </c>
      <c r="C19" s="66"/>
      <c r="D19" s="65"/>
      <c r="E19" s="65"/>
      <c r="F19" s="65"/>
      <c r="G19" s="12">
        <v>4</v>
      </c>
      <c r="H19" s="15">
        <v>120</v>
      </c>
      <c r="I19" s="15">
        <v>45</v>
      </c>
      <c r="J19" s="3">
        <v>0.5</v>
      </c>
      <c r="K19" s="15">
        <f t="shared" si="1"/>
        <v>15</v>
      </c>
      <c r="L19" s="17">
        <v>1</v>
      </c>
      <c r="M19" s="15">
        <f t="shared" si="2"/>
        <v>0.5</v>
      </c>
      <c r="N19" s="15">
        <f t="shared" si="3"/>
        <v>15</v>
      </c>
      <c r="O19" s="3">
        <v>1</v>
      </c>
      <c r="P19" s="15">
        <f t="shared" si="4"/>
        <v>30</v>
      </c>
      <c r="Q19" s="17">
        <v>1</v>
      </c>
      <c r="R19" s="15">
        <f t="shared" si="5"/>
        <v>1</v>
      </c>
      <c r="S19" s="15">
        <f t="shared" si="6"/>
        <v>30</v>
      </c>
      <c r="T19" s="30">
        <v>0</v>
      </c>
      <c r="U19" s="28">
        <v>0</v>
      </c>
      <c r="V19" s="19"/>
    </row>
    <row r="20" spans="1:22" x14ac:dyDescent="0.3">
      <c r="B20" s="14" t="s">
        <v>406</v>
      </c>
      <c r="C20" s="64" t="s">
        <v>17</v>
      </c>
      <c r="D20" s="64">
        <v>5</v>
      </c>
      <c r="E20" s="64"/>
      <c r="F20" s="64" t="s">
        <v>29</v>
      </c>
      <c r="G20" s="12">
        <v>5</v>
      </c>
      <c r="H20" s="15">
        <v>150</v>
      </c>
      <c r="I20" s="15">
        <v>45</v>
      </c>
      <c r="J20" s="3">
        <v>0.5</v>
      </c>
      <c r="K20" s="15">
        <f t="shared" si="1"/>
        <v>15</v>
      </c>
      <c r="L20" s="17">
        <v>1</v>
      </c>
      <c r="M20" s="15">
        <f t="shared" si="2"/>
        <v>0.5</v>
      </c>
      <c r="N20" s="15">
        <f t="shared" si="3"/>
        <v>15</v>
      </c>
      <c r="O20" s="3">
        <v>1</v>
      </c>
      <c r="P20" s="15">
        <f t="shared" si="4"/>
        <v>30</v>
      </c>
      <c r="Q20" s="17">
        <v>1</v>
      </c>
      <c r="R20" s="15">
        <f t="shared" si="5"/>
        <v>1</v>
      </c>
      <c r="S20" s="15">
        <f t="shared" si="6"/>
        <v>30</v>
      </c>
      <c r="T20" s="4">
        <f t="shared" ref="T20:U22" si="7">M20+R20</f>
        <v>1.5</v>
      </c>
      <c r="U20" s="3">
        <f t="shared" si="7"/>
        <v>45</v>
      </c>
      <c r="V20" s="19"/>
    </row>
    <row r="21" spans="1:22" ht="36" x14ac:dyDescent="0.35">
      <c r="A21" s="8"/>
      <c r="B21" s="14" t="s">
        <v>526</v>
      </c>
      <c r="C21" s="65"/>
      <c r="D21" s="65"/>
      <c r="E21" s="65"/>
      <c r="F21" s="65"/>
      <c r="G21" s="16">
        <v>3</v>
      </c>
      <c r="H21" s="15">
        <v>90</v>
      </c>
      <c r="I21" s="15">
        <v>30</v>
      </c>
      <c r="J21" s="3">
        <v>0.5</v>
      </c>
      <c r="K21" s="15">
        <f t="shared" si="1"/>
        <v>15</v>
      </c>
      <c r="L21" s="17">
        <v>1</v>
      </c>
      <c r="M21" s="15">
        <f t="shared" si="2"/>
        <v>0.5</v>
      </c>
      <c r="N21" s="15">
        <f t="shared" si="3"/>
        <v>15</v>
      </c>
      <c r="O21" s="3">
        <v>0.5</v>
      </c>
      <c r="P21" s="15">
        <f t="shared" si="4"/>
        <v>15</v>
      </c>
      <c r="Q21" s="17">
        <v>1</v>
      </c>
      <c r="R21" s="15">
        <f t="shared" si="5"/>
        <v>0.5</v>
      </c>
      <c r="S21" s="15">
        <f t="shared" si="6"/>
        <v>15</v>
      </c>
      <c r="T21" s="4">
        <f t="shared" si="7"/>
        <v>1</v>
      </c>
      <c r="U21" s="3">
        <f t="shared" si="7"/>
        <v>30</v>
      </c>
      <c r="V21" s="10"/>
    </row>
    <row r="22" spans="1:22" ht="54" x14ac:dyDescent="0.35">
      <c r="A22" s="8"/>
      <c r="B22" s="27" t="s">
        <v>527</v>
      </c>
      <c r="C22" s="66"/>
      <c r="D22" s="66"/>
      <c r="E22" s="66"/>
      <c r="F22" s="66"/>
      <c r="G22" s="19">
        <v>5</v>
      </c>
      <c r="H22" s="15">
        <v>150</v>
      </c>
      <c r="I22" s="15">
        <v>45</v>
      </c>
      <c r="J22" s="3">
        <v>0.5</v>
      </c>
      <c r="K22" s="15">
        <f t="shared" si="1"/>
        <v>15</v>
      </c>
      <c r="L22" s="17">
        <v>1</v>
      </c>
      <c r="M22" s="15">
        <f t="shared" si="2"/>
        <v>0.5</v>
      </c>
      <c r="N22" s="15">
        <f t="shared" si="3"/>
        <v>15</v>
      </c>
      <c r="O22" s="3">
        <v>1</v>
      </c>
      <c r="P22" s="15">
        <f t="shared" si="4"/>
        <v>30</v>
      </c>
      <c r="Q22" s="17">
        <v>1</v>
      </c>
      <c r="R22" s="15">
        <f t="shared" si="5"/>
        <v>1</v>
      </c>
      <c r="S22" s="15">
        <f t="shared" si="6"/>
        <v>30</v>
      </c>
      <c r="T22" s="4">
        <f t="shared" si="7"/>
        <v>1.5</v>
      </c>
      <c r="U22" s="3">
        <f t="shared" si="7"/>
        <v>45</v>
      </c>
      <c r="V22" s="10"/>
    </row>
  </sheetData>
  <autoFilter ref="A4:V22" xr:uid="{00000000-0009-0000-0000-000008000000}"/>
  <mergeCells count="45">
    <mergeCell ref="F14:F16"/>
    <mergeCell ref="F11:F13"/>
    <mergeCell ref="F17:F19"/>
    <mergeCell ref="F20:F22"/>
    <mergeCell ref="B6:B7"/>
    <mergeCell ref="F5:F7"/>
    <mergeCell ref="C20:C22"/>
    <mergeCell ref="D11:D13"/>
    <mergeCell ref="E11:E13"/>
    <mergeCell ref="C17:C19"/>
    <mergeCell ref="C14:C16"/>
    <mergeCell ref="C11:C13"/>
    <mergeCell ref="D17:D19"/>
    <mergeCell ref="E17:E19"/>
    <mergeCell ref="D20:D22"/>
    <mergeCell ref="E20:E22"/>
    <mergeCell ref="I2:I4"/>
    <mergeCell ref="B2:B4"/>
    <mergeCell ref="F2:F4"/>
    <mergeCell ref="F8:F10"/>
    <mergeCell ref="J2:J4"/>
    <mergeCell ref="C2:C4"/>
    <mergeCell ref="D2:E3"/>
    <mergeCell ref="D5:D7"/>
    <mergeCell ref="E5:E7"/>
    <mergeCell ref="G6:G7"/>
    <mergeCell ref="D8:D10"/>
    <mergeCell ref="E8:E10"/>
    <mergeCell ref="C8:C10"/>
    <mergeCell ref="D14:D16"/>
    <mergeCell ref="E14:E16"/>
    <mergeCell ref="V2:V4"/>
    <mergeCell ref="G2:G4"/>
    <mergeCell ref="H2:H4"/>
    <mergeCell ref="U2:U4"/>
    <mergeCell ref="O2:O4"/>
    <mergeCell ref="P2:P4"/>
    <mergeCell ref="Q2:Q4"/>
    <mergeCell ref="R2:R4"/>
    <mergeCell ref="S2:S4"/>
    <mergeCell ref="T2:T4"/>
    <mergeCell ref="L2:L4"/>
    <mergeCell ref="M2:M4"/>
    <mergeCell ref="N2:N4"/>
    <mergeCell ref="K2:K4"/>
  </mergeCells>
  <conditionalFormatting sqref="B1:B1048576">
    <cfRule type="duplicateValues" dxfId="2" priority="43"/>
  </conditionalFormatting>
  <pageMargins left="0.7" right="0.7" top="0.75" bottom="0.75" header="0.3" footer="0.3"/>
  <pageSetup paperSize="9" scale="31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V30"/>
  <sheetViews>
    <sheetView zoomScale="40" zoomScaleNormal="40" workbookViewId="0">
      <pane xSplit="6" ySplit="4" topLeftCell="H14" activePane="bottomRight" state="frozen"/>
      <selection pane="topRight" activeCell="G1" sqref="G1"/>
      <selection pane="bottomLeft" activeCell="A5" sqref="A5"/>
      <selection pane="bottomRight" activeCell="F5" sqref="F5:F9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ht="36" x14ac:dyDescent="0.3">
      <c r="B5" s="14" t="s">
        <v>496</v>
      </c>
      <c r="C5" s="64" t="s">
        <v>18</v>
      </c>
      <c r="D5" s="64"/>
      <c r="E5" s="64">
        <v>1</v>
      </c>
      <c r="F5" s="64" t="s">
        <v>501</v>
      </c>
      <c r="G5" s="12">
        <v>5</v>
      </c>
      <c r="H5" s="15">
        <v>150</v>
      </c>
      <c r="I5" s="15">
        <v>45</v>
      </c>
      <c r="J5" s="3">
        <v>0.5</v>
      </c>
      <c r="K5" s="15">
        <f>J5*30</f>
        <v>15</v>
      </c>
      <c r="L5" s="17">
        <v>1</v>
      </c>
      <c r="M5" s="15">
        <f>J5*L5</f>
        <v>0.5</v>
      </c>
      <c r="N5" s="15">
        <f>K5*L5</f>
        <v>15</v>
      </c>
      <c r="O5" s="3">
        <v>1</v>
      </c>
      <c r="P5" s="15">
        <f>O5*30</f>
        <v>30</v>
      </c>
      <c r="Q5" s="17">
        <v>1</v>
      </c>
      <c r="R5" s="15">
        <f>O5*Q5</f>
        <v>1</v>
      </c>
      <c r="S5" s="15">
        <f>P5*Q5</f>
        <v>30</v>
      </c>
      <c r="T5" s="30">
        <v>0</v>
      </c>
      <c r="U5" s="28">
        <v>0</v>
      </c>
      <c r="V5" s="19"/>
    </row>
    <row r="6" spans="1:22" ht="54" x14ac:dyDescent="0.3">
      <c r="B6" s="14" t="s">
        <v>497</v>
      </c>
      <c r="C6" s="65"/>
      <c r="D6" s="65"/>
      <c r="E6" s="65"/>
      <c r="F6" s="65"/>
      <c r="G6" s="12">
        <v>4</v>
      </c>
      <c r="H6" s="15">
        <v>120</v>
      </c>
      <c r="I6" s="15">
        <v>45</v>
      </c>
      <c r="J6" s="3">
        <v>0.5</v>
      </c>
      <c r="K6" s="15">
        <f t="shared" ref="K6:K30" si="0">J6*30</f>
        <v>15</v>
      </c>
      <c r="L6" s="17">
        <v>1</v>
      </c>
      <c r="M6" s="15">
        <f t="shared" ref="M6:M30" si="1">J6*L6</f>
        <v>0.5</v>
      </c>
      <c r="N6" s="15">
        <f t="shared" ref="N6:N30" si="2">K6*L6</f>
        <v>15</v>
      </c>
      <c r="O6" s="3">
        <v>1</v>
      </c>
      <c r="P6" s="15">
        <f t="shared" ref="P6:P30" si="3">O6*30</f>
        <v>30</v>
      </c>
      <c r="Q6" s="17">
        <v>1</v>
      </c>
      <c r="R6" s="15">
        <f t="shared" ref="R6:R30" si="4">O6*Q6</f>
        <v>1</v>
      </c>
      <c r="S6" s="15">
        <f t="shared" ref="S6:S30" si="5">P6*Q6</f>
        <v>30</v>
      </c>
      <c r="T6" s="30">
        <v>0</v>
      </c>
      <c r="U6" s="28">
        <v>0</v>
      </c>
      <c r="V6" s="19"/>
    </row>
    <row r="7" spans="1:22" ht="54" x14ac:dyDescent="0.35">
      <c r="A7" s="8"/>
      <c r="B7" s="14" t="s">
        <v>498</v>
      </c>
      <c r="C7" s="65"/>
      <c r="D7" s="65"/>
      <c r="E7" s="65"/>
      <c r="F7" s="65"/>
      <c r="G7" s="16">
        <v>5</v>
      </c>
      <c r="H7" s="15">
        <v>150</v>
      </c>
      <c r="I7" s="15">
        <v>45</v>
      </c>
      <c r="J7" s="3">
        <v>0.5</v>
      </c>
      <c r="K7" s="15">
        <f t="shared" si="0"/>
        <v>15</v>
      </c>
      <c r="L7" s="17">
        <v>1</v>
      </c>
      <c r="M7" s="15">
        <f t="shared" si="1"/>
        <v>0.5</v>
      </c>
      <c r="N7" s="15">
        <f t="shared" si="2"/>
        <v>15</v>
      </c>
      <c r="O7" s="3">
        <v>1</v>
      </c>
      <c r="P7" s="15">
        <f t="shared" si="3"/>
        <v>30</v>
      </c>
      <c r="Q7" s="17">
        <v>1</v>
      </c>
      <c r="R7" s="15">
        <f t="shared" si="4"/>
        <v>1</v>
      </c>
      <c r="S7" s="15">
        <f t="shared" si="5"/>
        <v>30</v>
      </c>
      <c r="T7" s="30">
        <v>0</v>
      </c>
      <c r="U7" s="28">
        <v>0</v>
      </c>
      <c r="V7" s="10"/>
    </row>
    <row r="8" spans="1:22" ht="72" x14ac:dyDescent="0.35">
      <c r="A8" s="8"/>
      <c r="B8" s="14" t="s">
        <v>499</v>
      </c>
      <c r="C8" s="65"/>
      <c r="D8" s="65"/>
      <c r="E8" s="65"/>
      <c r="F8" s="65"/>
      <c r="G8" s="16">
        <v>6</v>
      </c>
      <c r="H8" s="15">
        <v>180</v>
      </c>
      <c r="I8" s="15">
        <v>60</v>
      </c>
      <c r="J8" s="3">
        <v>1</v>
      </c>
      <c r="K8" s="15">
        <f t="shared" si="0"/>
        <v>30</v>
      </c>
      <c r="L8" s="17">
        <v>1</v>
      </c>
      <c r="M8" s="15">
        <f t="shared" si="1"/>
        <v>1</v>
      </c>
      <c r="N8" s="15">
        <f t="shared" si="2"/>
        <v>30</v>
      </c>
      <c r="O8" s="3">
        <v>1</v>
      </c>
      <c r="P8" s="15">
        <f t="shared" si="3"/>
        <v>30</v>
      </c>
      <c r="Q8" s="17">
        <v>1</v>
      </c>
      <c r="R8" s="15">
        <f t="shared" si="4"/>
        <v>1</v>
      </c>
      <c r="S8" s="15">
        <f t="shared" si="5"/>
        <v>30</v>
      </c>
      <c r="T8" s="30">
        <v>0</v>
      </c>
      <c r="U8" s="28">
        <v>0</v>
      </c>
      <c r="V8" s="10"/>
    </row>
    <row r="9" spans="1:22" ht="72" x14ac:dyDescent="0.3">
      <c r="A9" s="7"/>
      <c r="B9" s="14" t="s">
        <v>500</v>
      </c>
      <c r="C9" s="66"/>
      <c r="D9" s="66"/>
      <c r="E9" s="66"/>
      <c r="F9" s="65"/>
      <c r="G9" s="12">
        <v>6</v>
      </c>
      <c r="H9" s="15">
        <v>180</v>
      </c>
      <c r="I9" s="15">
        <v>60</v>
      </c>
      <c r="J9" s="3">
        <v>1</v>
      </c>
      <c r="K9" s="15">
        <f t="shared" si="0"/>
        <v>30</v>
      </c>
      <c r="L9" s="17">
        <v>1</v>
      </c>
      <c r="M9" s="15">
        <f t="shared" si="1"/>
        <v>1</v>
      </c>
      <c r="N9" s="15">
        <f t="shared" si="2"/>
        <v>30</v>
      </c>
      <c r="O9" s="3">
        <v>1</v>
      </c>
      <c r="P9" s="15">
        <f t="shared" si="3"/>
        <v>30</v>
      </c>
      <c r="Q9" s="17">
        <v>1</v>
      </c>
      <c r="R9" s="15">
        <f t="shared" si="4"/>
        <v>1</v>
      </c>
      <c r="S9" s="15">
        <f t="shared" si="5"/>
        <v>30</v>
      </c>
      <c r="T9" s="30">
        <v>0</v>
      </c>
      <c r="U9" s="28">
        <v>0</v>
      </c>
      <c r="V9" s="19"/>
    </row>
    <row r="10" spans="1:22" ht="54" x14ac:dyDescent="0.3">
      <c r="A10" s="7"/>
      <c r="B10" s="14" t="s">
        <v>505</v>
      </c>
      <c r="C10" s="64" t="s">
        <v>17</v>
      </c>
      <c r="D10" s="64">
        <v>1</v>
      </c>
      <c r="E10" s="64"/>
      <c r="F10" s="64" t="s">
        <v>26</v>
      </c>
      <c r="G10" s="12">
        <v>4</v>
      </c>
      <c r="H10" s="15">
        <v>120</v>
      </c>
      <c r="I10" s="15">
        <v>45</v>
      </c>
      <c r="J10" s="3">
        <v>0.5</v>
      </c>
      <c r="K10" s="15">
        <f t="shared" si="0"/>
        <v>15</v>
      </c>
      <c r="L10" s="17">
        <v>1</v>
      </c>
      <c r="M10" s="15">
        <f t="shared" si="1"/>
        <v>0.5</v>
      </c>
      <c r="N10" s="15">
        <f t="shared" si="2"/>
        <v>15</v>
      </c>
      <c r="O10" s="3">
        <v>1</v>
      </c>
      <c r="P10" s="15">
        <f t="shared" si="3"/>
        <v>30</v>
      </c>
      <c r="Q10" s="17">
        <v>1</v>
      </c>
      <c r="R10" s="15">
        <f t="shared" si="4"/>
        <v>1</v>
      </c>
      <c r="S10" s="15">
        <f t="shared" si="5"/>
        <v>30</v>
      </c>
      <c r="T10" s="30">
        <v>0</v>
      </c>
      <c r="U10" s="28">
        <v>0</v>
      </c>
      <c r="V10" s="19"/>
    </row>
    <row r="11" spans="1:22" ht="36" x14ac:dyDescent="0.3">
      <c r="A11" s="7"/>
      <c r="B11" s="14" t="s">
        <v>506</v>
      </c>
      <c r="C11" s="65"/>
      <c r="D11" s="65"/>
      <c r="E11" s="65"/>
      <c r="F11" s="65"/>
      <c r="G11" s="12">
        <v>5</v>
      </c>
      <c r="H11" s="15">
        <v>150</v>
      </c>
      <c r="I11" s="15">
        <v>45</v>
      </c>
      <c r="J11" s="3">
        <v>0.5</v>
      </c>
      <c r="K11" s="15">
        <f t="shared" si="0"/>
        <v>15</v>
      </c>
      <c r="L11" s="17">
        <v>1</v>
      </c>
      <c r="M11" s="15">
        <f t="shared" si="1"/>
        <v>0.5</v>
      </c>
      <c r="N11" s="15">
        <f t="shared" si="2"/>
        <v>15</v>
      </c>
      <c r="O11" s="3">
        <v>1</v>
      </c>
      <c r="P11" s="15">
        <f t="shared" si="3"/>
        <v>30</v>
      </c>
      <c r="Q11" s="17">
        <v>1</v>
      </c>
      <c r="R11" s="15">
        <f t="shared" si="4"/>
        <v>1</v>
      </c>
      <c r="S11" s="15">
        <f t="shared" si="5"/>
        <v>30</v>
      </c>
      <c r="T11" s="30">
        <v>0</v>
      </c>
      <c r="U11" s="28">
        <v>0</v>
      </c>
      <c r="V11" s="19"/>
    </row>
    <row r="12" spans="1:22" ht="72" x14ac:dyDescent="0.3">
      <c r="A12" s="7"/>
      <c r="B12" s="14" t="s">
        <v>507</v>
      </c>
      <c r="C12" s="65"/>
      <c r="D12" s="65"/>
      <c r="E12" s="65"/>
      <c r="F12" s="65"/>
      <c r="G12" s="12">
        <v>6</v>
      </c>
      <c r="H12" s="15">
        <v>180</v>
      </c>
      <c r="I12" s="15">
        <v>60</v>
      </c>
      <c r="J12" s="3">
        <v>1</v>
      </c>
      <c r="K12" s="15">
        <f t="shared" si="0"/>
        <v>30</v>
      </c>
      <c r="L12" s="17">
        <v>1</v>
      </c>
      <c r="M12" s="15">
        <f t="shared" si="1"/>
        <v>1</v>
      </c>
      <c r="N12" s="15">
        <f t="shared" si="2"/>
        <v>30</v>
      </c>
      <c r="O12" s="3">
        <v>1</v>
      </c>
      <c r="P12" s="15">
        <f t="shared" si="3"/>
        <v>30</v>
      </c>
      <c r="Q12" s="17">
        <v>1</v>
      </c>
      <c r="R12" s="15">
        <f t="shared" si="4"/>
        <v>1</v>
      </c>
      <c r="S12" s="15">
        <f t="shared" si="5"/>
        <v>30</v>
      </c>
      <c r="T12" s="30">
        <v>0</v>
      </c>
      <c r="U12" s="28">
        <v>0</v>
      </c>
      <c r="V12" s="19"/>
    </row>
    <row r="13" spans="1:22" ht="72" x14ac:dyDescent="0.3">
      <c r="A13" s="7"/>
      <c r="B13" s="14" t="s">
        <v>508</v>
      </c>
      <c r="C13" s="65"/>
      <c r="D13" s="65"/>
      <c r="E13" s="65"/>
      <c r="F13" s="65"/>
      <c r="G13" s="12">
        <v>5</v>
      </c>
      <c r="H13" s="15">
        <v>150</v>
      </c>
      <c r="I13" s="15">
        <v>45</v>
      </c>
      <c r="J13" s="3">
        <v>0.5</v>
      </c>
      <c r="K13" s="15">
        <f t="shared" si="0"/>
        <v>15</v>
      </c>
      <c r="L13" s="17">
        <v>1</v>
      </c>
      <c r="M13" s="15">
        <f t="shared" si="1"/>
        <v>0.5</v>
      </c>
      <c r="N13" s="15">
        <f t="shared" si="2"/>
        <v>15</v>
      </c>
      <c r="O13" s="3">
        <v>1</v>
      </c>
      <c r="P13" s="15">
        <f t="shared" si="3"/>
        <v>30</v>
      </c>
      <c r="Q13" s="17">
        <v>1</v>
      </c>
      <c r="R13" s="15">
        <f t="shared" si="4"/>
        <v>1</v>
      </c>
      <c r="S13" s="15">
        <f t="shared" si="5"/>
        <v>30</v>
      </c>
      <c r="T13" s="30">
        <v>0</v>
      </c>
      <c r="U13" s="28">
        <v>0</v>
      </c>
      <c r="V13" s="19"/>
    </row>
    <row r="14" spans="1:22" ht="54" x14ac:dyDescent="0.3">
      <c r="A14" s="7"/>
      <c r="B14" s="14" t="s">
        <v>509</v>
      </c>
      <c r="C14" s="66"/>
      <c r="D14" s="66"/>
      <c r="E14" s="66"/>
      <c r="F14" s="65"/>
      <c r="G14" s="12">
        <v>6</v>
      </c>
      <c r="H14" s="15">
        <v>180</v>
      </c>
      <c r="I14" s="15">
        <v>60</v>
      </c>
      <c r="J14" s="3">
        <v>1</v>
      </c>
      <c r="K14" s="15">
        <f t="shared" si="0"/>
        <v>30</v>
      </c>
      <c r="L14" s="17">
        <v>1</v>
      </c>
      <c r="M14" s="15">
        <f t="shared" si="1"/>
        <v>1</v>
      </c>
      <c r="N14" s="15">
        <f t="shared" si="2"/>
        <v>30</v>
      </c>
      <c r="O14" s="3">
        <v>1</v>
      </c>
      <c r="P14" s="15">
        <f t="shared" si="3"/>
        <v>30</v>
      </c>
      <c r="Q14" s="17">
        <v>1</v>
      </c>
      <c r="R14" s="15">
        <f t="shared" si="4"/>
        <v>1</v>
      </c>
      <c r="S14" s="15">
        <f t="shared" si="5"/>
        <v>30</v>
      </c>
      <c r="T14" s="30">
        <v>0</v>
      </c>
      <c r="U14" s="28">
        <v>0</v>
      </c>
      <c r="V14" s="19"/>
    </row>
    <row r="15" spans="1:22" ht="36" x14ac:dyDescent="0.3">
      <c r="A15" s="7"/>
      <c r="B15" s="14" t="s">
        <v>513</v>
      </c>
      <c r="C15" s="64" t="s">
        <v>17</v>
      </c>
      <c r="D15" s="64">
        <v>1</v>
      </c>
      <c r="E15" s="64"/>
      <c r="F15" s="64" t="s">
        <v>281</v>
      </c>
      <c r="G15" s="12">
        <v>4</v>
      </c>
      <c r="H15" s="15">
        <v>120</v>
      </c>
      <c r="I15" s="15">
        <v>45</v>
      </c>
      <c r="J15" s="3">
        <v>0.5</v>
      </c>
      <c r="K15" s="15">
        <f t="shared" si="0"/>
        <v>15</v>
      </c>
      <c r="L15" s="17">
        <v>1</v>
      </c>
      <c r="M15" s="15">
        <f t="shared" si="1"/>
        <v>0.5</v>
      </c>
      <c r="N15" s="15">
        <f t="shared" si="2"/>
        <v>15</v>
      </c>
      <c r="O15" s="3">
        <v>1</v>
      </c>
      <c r="P15" s="15">
        <f t="shared" si="3"/>
        <v>30</v>
      </c>
      <c r="Q15" s="17">
        <v>1</v>
      </c>
      <c r="R15" s="15">
        <f t="shared" si="4"/>
        <v>1</v>
      </c>
      <c r="S15" s="15">
        <f t="shared" si="5"/>
        <v>30</v>
      </c>
      <c r="T15" s="30">
        <v>0</v>
      </c>
      <c r="U15" s="28">
        <v>0</v>
      </c>
      <c r="V15" s="19"/>
    </row>
    <row r="16" spans="1:22" ht="36" x14ac:dyDescent="0.3">
      <c r="A16" s="7"/>
      <c r="B16" s="14" t="s">
        <v>514</v>
      </c>
      <c r="C16" s="65"/>
      <c r="D16" s="65"/>
      <c r="E16" s="65"/>
      <c r="F16" s="65"/>
      <c r="G16" s="12">
        <v>5</v>
      </c>
      <c r="H16" s="15">
        <v>150</v>
      </c>
      <c r="I16" s="15">
        <v>45</v>
      </c>
      <c r="J16" s="3">
        <v>0.5</v>
      </c>
      <c r="K16" s="15">
        <f t="shared" si="0"/>
        <v>15</v>
      </c>
      <c r="L16" s="17">
        <v>1</v>
      </c>
      <c r="M16" s="15">
        <f t="shared" si="1"/>
        <v>0.5</v>
      </c>
      <c r="N16" s="15">
        <f t="shared" si="2"/>
        <v>15</v>
      </c>
      <c r="O16" s="3">
        <v>1</v>
      </c>
      <c r="P16" s="15">
        <f t="shared" si="3"/>
        <v>30</v>
      </c>
      <c r="Q16" s="17">
        <v>1</v>
      </c>
      <c r="R16" s="15">
        <f t="shared" si="4"/>
        <v>1</v>
      </c>
      <c r="S16" s="15">
        <f t="shared" si="5"/>
        <v>30</v>
      </c>
      <c r="T16" s="30">
        <v>0</v>
      </c>
      <c r="U16" s="28">
        <v>0</v>
      </c>
      <c r="V16" s="19"/>
    </row>
    <row r="17" spans="1:22" ht="54" x14ac:dyDescent="0.3">
      <c r="A17" s="7"/>
      <c r="B17" s="14" t="s">
        <v>515</v>
      </c>
      <c r="C17" s="65"/>
      <c r="D17" s="65"/>
      <c r="E17" s="65"/>
      <c r="F17" s="65"/>
      <c r="G17" s="12">
        <v>6</v>
      </c>
      <c r="H17" s="15">
        <v>180</v>
      </c>
      <c r="I17" s="15">
        <v>60</v>
      </c>
      <c r="J17" s="3">
        <v>1</v>
      </c>
      <c r="K17" s="15">
        <f t="shared" si="0"/>
        <v>30</v>
      </c>
      <c r="L17" s="17">
        <v>1</v>
      </c>
      <c r="M17" s="15">
        <f t="shared" si="1"/>
        <v>1</v>
      </c>
      <c r="N17" s="15">
        <f t="shared" si="2"/>
        <v>30</v>
      </c>
      <c r="O17" s="3">
        <v>1</v>
      </c>
      <c r="P17" s="15">
        <f t="shared" si="3"/>
        <v>30</v>
      </c>
      <c r="Q17" s="17">
        <v>1</v>
      </c>
      <c r="R17" s="15">
        <f t="shared" si="4"/>
        <v>1</v>
      </c>
      <c r="S17" s="15">
        <f t="shared" si="5"/>
        <v>30</v>
      </c>
      <c r="T17" s="30">
        <v>0</v>
      </c>
      <c r="U17" s="28">
        <v>0</v>
      </c>
      <c r="V17" s="19"/>
    </row>
    <row r="18" spans="1:22" ht="72" x14ac:dyDescent="0.3">
      <c r="A18" s="7"/>
      <c r="B18" s="14" t="s">
        <v>516</v>
      </c>
      <c r="C18" s="65"/>
      <c r="D18" s="65"/>
      <c r="E18" s="65"/>
      <c r="F18" s="65"/>
      <c r="G18" s="12">
        <v>6</v>
      </c>
      <c r="H18" s="15">
        <v>180</v>
      </c>
      <c r="I18" s="15">
        <v>60</v>
      </c>
      <c r="J18" s="3">
        <v>1</v>
      </c>
      <c r="K18" s="15">
        <f t="shared" si="0"/>
        <v>30</v>
      </c>
      <c r="L18" s="17">
        <v>1</v>
      </c>
      <c r="M18" s="15">
        <f t="shared" si="1"/>
        <v>1</v>
      </c>
      <c r="N18" s="15">
        <f t="shared" si="2"/>
        <v>30</v>
      </c>
      <c r="O18" s="3">
        <v>1</v>
      </c>
      <c r="P18" s="15">
        <f t="shared" si="3"/>
        <v>30</v>
      </c>
      <c r="Q18" s="17">
        <v>1</v>
      </c>
      <c r="R18" s="15">
        <f t="shared" si="4"/>
        <v>1</v>
      </c>
      <c r="S18" s="15">
        <f t="shared" si="5"/>
        <v>30</v>
      </c>
      <c r="T18" s="30">
        <v>0</v>
      </c>
      <c r="U18" s="28">
        <v>0</v>
      </c>
      <c r="V18" s="19"/>
    </row>
    <row r="19" spans="1:22" ht="90" x14ac:dyDescent="0.3">
      <c r="A19" s="7"/>
      <c r="B19" s="14" t="s">
        <v>517</v>
      </c>
      <c r="C19" s="66"/>
      <c r="D19" s="66"/>
      <c r="E19" s="66"/>
      <c r="F19" s="65"/>
      <c r="G19" s="12">
        <v>5</v>
      </c>
      <c r="H19" s="15">
        <v>150</v>
      </c>
      <c r="I19" s="15">
        <v>45</v>
      </c>
      <c r="J19" s="3">
        <v>0.5</v>
      </c>
      <c r="K19" s="15">
        <f t="shared" si="0"/>
        <v>15</v>
      </c>
      <c r="L19" s="17">
        <v>1</v>
      </c>
      <c r="M19" s="15">
        <f t="shared" si="1"/>
        <v>0.5</v>
      </c>
      <c r="N19" s="15">
        <f t="shared" si="2"/>
        <v>15</v>
      </c>
      <c r="O19" s="3">
        <v>1</v>
      </c>
      <c r="P19" s="15">
        <f t="shared" si="3"/>
        <v>30</v>
      </c>
      <c r="Q19" s="17">
        <v>1</v>
      </c>
      <c r="R19" s="15">
        <f t="shared" si="4"/>
        <v>1</v>
      </c>
      <c r="S19" s="15">
        <f t="shared" si="5"/>
        <v>30</v>
      </c>
      <c r="T19" s="30">
        <v>0</v>
      </c>
      <c r="U19" s="28">
        <v>0</v>
      </c>
      <c r="V19" s="19"/>
    </row>
    <row r="20" spans="1:22" ht="36" x14ac:dyDescent="0.3">
      <c r="A20" s="7"/>
      <c r="B20" s="14" t="s">
        <v>521</v>
      </c>
      <c r="C20" s="64" t="s">
        <v>17</v>
      </c>
      <c r="D20" s="64">
        <v>1</v>
      </c>
      <c r="E20" s="64"/>
      <c r="F20" s="64" t="s">
        <v>28</v>
      </c>
      <c r="G20" s="12">
        <v>5</v>
      </c>
      <c r="H20" s="15">
        <v>150</v>
      </c>
      <c r="I20" s="15">
        <v>45</v>
      </c>
      <c r="J20" s="3">
        <v>0.5</v>
      </c>
      <c r="K20" s="15">
        <f t="shared" si="0"/>
        <v>15</v>
      </c>
      <c r="L20" s="17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17">
        <v>1</v>
      </c>
      <c r="R20" s="15">
        <f t="shared" si="4"/>
        <v>1</v>
      </c>
      <c r="S20" s="15">
        <f t="shared" si="5"/>
        <v>30</v>
      </c>
      <c r="T20" s="30">
        <v>0</v>
      </c>
      <c r="U20" s="28">
        <v>0</v>
      </c>
      <c r="V20" s="19"/>
    </row>
    <row r="21" spans="1:22" ht="54" x14ac:dyDescent="0.3">
      <c r="A21" s="7"/>
      <c r="B21" s="14" t="s">
        <v>522</v>
      </c>
      <c r="C21" s="65"/>
      <c r="D21" s="65"/>
      <c r="E21" s="65"/>
      <c r="F21" s="65"/>
      <c r="G21" s="12">
        <v>4</v>
      </c>
      <c r="H21" s="15">
        <v>120</v>
      </c>
      <c r="I21" s="15">
        <v>45</v>
      </c>
      <c r="J21" s="3">
        <v>0.5</v>
      </c>
      <c r="K21" s="15">
        <f t="shared" si="0"/>
        <v>15</v>
      </c>
      <c r="L21" s="17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17">
        <v>1</v>
      </c>
      <c r="R21" s="15">
        <f t="shared" si="4"/>
        <v>1</v>
      </c>
      <c r="S21" s="15">
        <f t="shared" si="5"/>
        <v>30</v>
      </c>
      <c r="T21" s="30">
        <v>0</v>
      </c>
      <c r="U21" s="28">
        <v>0</v>
      </c>
      <c r="V21" s="19"/>
    </row>
    <row r="22" spans="1:22" ht="72" x14ac:dyDescent="0.3">
      <c r="A22" s="7"/>
      <c r="B22" s="14" t="s">
        <v>523</v>
      </c>
      <c r="C22" s="65"/>
      <c r="D22" s="65"/>
      <c r="E22" s="65"/>
      <c r="F22" s="65"/>
      <c r="G22" s="12">
        <v>6</v>
      </c>
      <c r="H22" s="15">
        <v>180</v>
      </c>
      <c r="I22" s="15">
        <v>60</v>
      </c>
      <c r="J22" s="3">
        <v>1</v>
      </c>
      <c r="K22" s="15">
        <f t="shared" si="0"/>
        <v>30</v>
      </c>
      <c r="L22" s="17">
        <v>1</v>
      </c>
      <c r="M22" s="15">
        <f t="shared" si="1"/>
        <v>1</v>
      </c>
      <c r="N22" s="15">
        <f t="shared" si="2"/>
        <v>30</v>
      </c>
      <c r="O22" s="3">
        <v>1</v>
      </c>
      <c r="P22" s="15">
        <f t="shared" si="3"/>
        <v>30</v>
      </c>
      <c r="Q22" s="17">
        <v>1</v>
      </c>
      <c r="R22" s="15">
        <f t="shared" si="4"/>
        <v>1</v>
      </c>
      <c r="S22" s="15">
        <f t="shared" si="5"/>
        <v>30</v>
      </c>
      <c r="T22" s="30">
        <v>0</v>
      </c>
      <c r="U22" s="28">
        <v>0</v>
      </c>
      <c r="V22" s="19"/>
    </row>
    <row r="23" spans="1:22" ht="36" x14ac:dyDescent="0.3">
      <c r="A23" s="7"/>
      <c r="B23" s="14" t="s">
        <v>524</v>
      </c>
      <c r="C23" s="65"/>
      <c r="D23" s="65"/>
      <c r="E23" s="65"/>
      <c r="F23" s="65"/>
      <c r="G23" s="12">
        <v>6</v>
      </c>
      <c r="H23" s="15">
        <v>180</v>
      </c>
      <c r="I23" s="15">
        <v>60</v>
      </c>
      <c r="J23" s="3">
        <v>1</v>
      </c>
      <c r="K23" s="15">
        <f t="shared" si="0"/>
        <v>30</v>
      </c>
      <c r="L23" s="17">
        <v>1</v>
      </c>
      <c r="M23" s="15">
        <f t="shared" si="1"/>
        <v>1</v>
      </c>
      <c r="N23" s="15">
        <f t="shared" si="2"/>
        <v>30</v>
      </c>
      <c r="O23" s="3">
        <v>1</v>
      </c>
      <c r="P23" s="15">
        <f t="shared" si="3"/>
        <v>30</v>
      </c>
      <c r="Q23" s="17">
        <v>1</v>
      </c>
      <c r="R23" s="15">
        <f t="shared" si="4"/>
        <v>1</v>
      </c>
      <c r="S23" s="15">
        <f t="shared" si="5"/>
        <v>30</v>
      </c>
      <c r="T23" s="30">
        <v>0</v>
      </c>
      <c r="U23" s="28">
        <v>0</v>
      </c>
      <c r="V23" s="19"/>
    </row>
    <row r="24" spans="1:22" ht="72" x14ac:dyDescent="0.3">
      <c r="A24" s="7"/>
      <c r="B24" s="14" t="s">
        <v>525</v>
      </c>
      <c r="C24" s="66"/>
      <c r="D24" s="66"/>
      <c r="E24" s="66"/>
      <c r="F24" s="65"/>
      <c r="G24" s="12">
        <v>5</v>
      </c>
      <c r="H24" s="15">
        <v>150</v>
      </c>
      <c r="I24" s="15">
        <v>45</v>
      </c>
      <c r="J24" s="3">
        <v>0.5</v>
      </c>
      <c r="K24" s="15">
        <f t="shared" si="0"/>
        <v>15</v>
      </c>
      <c r="L24" s="17">
        <v>1</v>
      </c>
      <c r="M24" s="15">
        <f t="shared" si="1"/>
        <v>0.5</v>
      </c>
      <c r="N24" s="15">
        <f t="shared" si="2"/>
        <v>15</v>
      </c>
      <c r="O24" s="3">
        <v>1</v>
      </c>
      <c r="P24" s="15">
        <f t="shared" si="3"/>
        <v>30</v>
      </c>
      <c r="Q24" s="17">
        <v>1</v>
      </c>
      <c r="R24" s="15">
        <f t="shared" si="4"/>
        <v>1</v>
      </c>
      <c r="S24" s="15">
        <f t="shared" si="5"/>
        <v>30</v>
      </c>
      <c r="T24" s="30">
        <v>0</v>
      </c>
      <c r="U24" s="28">
        <v>0</v>
      </c>
      <c r="V24" s="19"/>
    </row>
    <row r="25" spans="1:22" x14ac:dyDescent="0.3">
      <c r="A25" s="7"/>
      <c r="B25" s="14" t="s">
        <v>528</v>
      </c>
      <c r="C25" s="64" t="s">
        <v>17</v>
      </c>
      <c r="D25" s="64">
        <v>5</v>
      </c>
      <c r="E25" s="64"/>
      <c r="F25" s="64" t="s">
        <v>29</v>
      </c>
      <c r="G25" s="12">
        <v>5</v>
      </c>
      <c r="H25" s="15">
        <v>150</v>
      </c>
      <c r="I25" s="15">
        <v>45</v>
      </c>
      <c r="J25" s="3">
        <v>0.5</v>
      </c>
      <c r="K25" s="15">
        <f t="shared" si="0"/>
        <v>15</v>
      </c>
      <c r="L25" s="17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17">
        <v>1</v>
      </c>
      <c r="R25" s="15">
        <f t="shared" si="4"/>
        <v>1</v>
      </c>
      <c r="S25" s="15">
        <f t="shared" si="5"/>
        <v>30</v>
      </c>
      <c r="T25" s="4">
        <f t="shared" ref="T25:T30" si="6">M25+R25</f>
        <v>1.5</v>
      </c>
      <c r="U25" s="3">
        <f t="shared" ref="U25:U30" si="7">N25+S25</f>
        <v>45</v>
      </c>
      <c r="V25" s="19"/>
    </row>
    <row r="26" spans="1:22" ht="54" x14ac:dyDescent="0.3">
      <c r="A26" s="7"/>
      <c r="B26" s="14" t="s">
        <v>529</v>
      </c>
      <c r="C26" s="65"/>
      <c r="D26" s="65"/>
      <c r="E26" s="65"/>
      <c r="F26" s="65"/>
      <c r="G26" s="12">
        <v>4</v>
      </c>
      <c r="H26" s="15">
        <v>120</v>
      </c>
      <c r="I26" s="15">
        <v>45</v>
      </c>
      <c r="J26" s="3">
        <v>0.5</v>
      </c>
      <c r="K26" s="15">
        <f t="shared" si="0"/>
        <v>15</v>
      </c>
      <c r="L26" s="17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17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9"/>
    </row>
    <row r="27" spans="1:22" ht="36" x14ac:dyDescent="0.3">
      <c r="A27" s="7"/>
      <c r="B27" s="37" t="s">
        <v>576</v>
      </c>
      <c r="C27" s="65"/>
      <c r="D27" s="65"/>
      <c r="E27" s="65"/>
      <c r="F27" s="65"/>
      <c r="G27" s="12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17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17">
        <v>1</v>
      </c>
      <c r="R27" s="15">
        <f t="shared" si="4"/>
        <v>1</v>
      </c>
      <c r="S27" s="15">
        <f t="shared" si="5"/>
        <v>30</v>
      </c>
      <c r="T27" s="4">
        <f t="shared" si="6"/>
        <v>1.5</v>
      </c>
      <c r="U27" s="3">
        <f t="shared" si="7"/>
        <v>45</v>
      </c>
      <c r="V27" s="29" t="s">
        <v>539</v>
      </c>
    </row>
    <row r="28" spans="1:22" ht="72" x14ac:dyDescent="0.3">
      <c r="A28" s="7"/>
      <c r="B28" s="14" t="s">
        <v>530</v>
      </c>
      <c r="C28" s="65"/>
      <c r="D28" s="65"/>
      <c r="E28" s="65"/>
      <c r="F28" s="65"/>
      <c r="G28" s="12">
        <v>6</v>
      </c>
      <c r="H28" s="15">
        <v>180</v>
      </c>
      <c r="I28" s="15">
        <v>60</v>
      </c>
      <c r="J28" s="3">
        <v>1</v>
      </c>
      <c r="K28" s="15">
        <f t="shared" si="0"/>
        <v>30</v>
      </c>
      <c r="L28" s="17">
        <v>1</v>
      </c>
      <c r="M28" s="15">
        <f t="shared" si="1"/>
        <v>1</v>
      </c>
      <c r="N28" s="15">
        <f t="shared" si="2"/>
        <v>30</v>
      </c>
      <c r="O28" s="3">
        <v>1</v>
      </c>
      <c r="P28" s="15">
        <f t="shared" si="3"/>
        <v>30</v>
      </c>
      <c r="Q28" s="17">
        <v>1</v>
      </c>
      <c r="R28" s="15">
        <f t="shared" si="4"/>
        <v>1</v>
      </c>
      <c r="S28" s="15">
        <f t="shared" si="5"/>
        <v>30</v>
      </c>
      <c r="T28" s="4">
        <f t="shared" si="6"/>
        <v>2</v>
      </c>
      <c r="U28" s="3">
        <f t="shared" si="7"/>
        <v>60</v>
      </c>
      <c r="V28" s="29" t="s">
        <v>539</v>
      </c>
    </row>
    <row r="29" spans="1:22" ht="54" x14ac:dyDescent="0.3">
      <c r="A29" s="7"/>
      <c r="B29" s="27" t="s">
        <v>531</v>
      </c>
      <c r="C29" s="66"/>
      <c r="D29" s="66"/>
      <c r="E29" s="66"/>
      <c r="F29" s="66"/>
      <c r="G29" s="15">
        <v>6</v>
      </c>
      <c r="H29" s="15">
        <v>180</v>
      </c>
      <c r="I29" s="15">
        <v>60</v>
      </c>
      <c r="J29" s="3">
        <v>1</v>
      </c>
      <c r="K29" s="15">
        <f t="shared" si="0"/>
        <v>30</v>
      </c>
      <c r="L29" s="17">
        <v>1</v>
      </c>
      <c r="M29" s="15">
        <f t="shared" si="1"/>
        <v>1</v>
      </c>
      <c r="N29" s="15">
        <f t="shared" si="2"/>
        <v>30</v>
      </c>
      <c r="O29" s="3">
        <v>1</v>
      </c>
      <c r="P29" s="15">
        <f t="shared" si="3"/>
        <v>30</v>
      </c>
      <c r="Q29" s="17">
        <v>1</v>
      </c>
      <c r="R29" s="15">
        <f t="shared" si="4"/>
        <v>1</v>
      </c>
      <c r="S29" s="15">
        <f t="shared" si="5"/>
        <v>30</v>
      </c>
      <c r="T29" s="4">
        <f t="shared" si="6"/>
        <v>2</v>
      </c>
      <c r="U29" s="3">
        <f t="shared" si="7"/>
        <v>60</v>
      </c>
      <c r="V29" s="19"/>
    </row>
    <row r="30" spans="1:22" ht="21" customHeight="1" x14ac:dyDescent="0.3">
      <c r="A30" s="7"/>
      <c r="B30" s="48" t="s">
        <v>574</v>
      </c>
      <c r="C30" s="15" t="s">
        <v>206</v>
      </c>
      <c r="D30" s="15">
        <v>1</v>
      </c>
      <c r="E30" s="15">
        <v>1</v>
      </c>
      <c r="F30" s="15" t="s">
        <v>573</v>
      </c>
      <c r="G30" s="15">
        <v>5</v>
      </c>
      <c r="H30" s="15">
        <v>150</v>
      </c>
      <c r="I30" s="15">
        <v>45</v>
      </c>
      <c r="J30" s="3">
        <v>0.5</v>
      </c>
      <c r="K30" s="15">
        <f t="shared" si="0"/>
        <v>15</v>
      </c>
      <c r="L30" s="47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17">
        <v>1</v>
      </c>
      <c r="R30" s="15">
        <f t="shared" si="4"/>
        <v>1</v>
      </c>
      <c r="S30" s="15">
        <f t="shared" si="5"/>
        <v>30</v>
      </c>
      <c r="T30" s="4">
        <f t="shared" si="6"/>
        <v>1.5</v>
      </c>
      <c r="U30" s="3">
        <f t="shared" si="7"/>
        <v>45</v>
      </c>
      <c r="V30" s="19"/>
    </row>
  </sheetData>
  <autoFilter ref="A4:V29" xr:uid="{00000000-0009-0000-0000-000009000000}"/>
  <mergeCells count="40">
    <mergeCell ref="F25:F29"/>
    <mergeCell ref="C15:C19"/>
    <mergeCell ref="D15:D19"/>
    <mergeCell ref="E15:E19"/>
    <mergeCell ref="C25:C29"/>
    <mergeCell ref="D25:D29"/>
    <mergeCell ref="E25:E29"/>
    <mergeCell ref="C20:C24"/>
    <mergeCell ref="D20:D24"/>
    <mergeCell ref="E20:E24"/>
    <mergeCell ref="F15:F19"/>
    <mergeCell ref="F20:F24"/>
    <mergeCell ref="B2:B4"/>
    <mergeCell ref="C2:C4"/>
    <mergeCell ref="D2:E3"/>
    <mergeCell ref="F2:F4"/>
    <mergeCell ref="G2:G4"/>
    <mergeCell ref="N2:N4"/>
    <mergeCell ref="H2:H4"/>
    <mergeCell ref="I2:I4"/>
    <mergeCell ref="J2:J4"/>
    <mergeCell ref="K2:K4"/>
    <mergeCell ref="L2:L4"/>
    <mergeCell ref="M2:M4"/>
    <mergeCell ref="C5:C9"/>
    <mergeCell ref="E5:E9"/>
    <mergeCell ref="D5:D9"/>
    <mergeCell ref="F5:F9"/>
    <mergeCell ref="F10:F14"/>
    <mergeCell ref="D10:D14"/>
    <mergeCell ref="E10:E14"/>
    <mergeCell ref="C10:C14"/>
    <mergeCell ref="U2:U4"/>
    <mergeCell ref="V2:V4"/>
    <mergeCell ref="O2:O4"/>
    <mergeCell ref="P2:P4"/>
    <mergeCell ref="Q2:Q4"/>
    <mergeCell ref="R2:R4"/>
    <mergeCell ref="S2:S4"/>
    <mergeCell ref="T2:T4"/>
  </mergeCells>
  <conditionalFormatting sqref="B30">
    <cfRule type="duplicateValues" dxfId="1" priority="47"/>
  </conditionalFormatting>
  <conditionalFormatting sqref="B31:B1048576 B1:B29">
    <cfRule type="duplicateValues" dxfId="0" priority="2"/>
  </conditionalFormatting>
  <pageMargins left="0.7" right="0.7" top="0.75" bottom="0.75" header="0.3" footer="0.3"/>
  <pageSetup paperSize="9" scale="31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V46"/>
  <sheetViews>
    <sheetView zoomScale="70" zoomScaleNormal="70" workbookViewId="0">
      <pane xSplit="6" ySplit="4" topLeftCell="U23" activePane="bottomRight" state="frozen"/>
      <selection pane="topRight" activeCell="G1" sqref="G1"/>
      <selection pane="bottomLeft" activeCell="A5" sqref="A5"/>
      <selection pane="bottomRight" activeCell="V25" sqref="V25:V29"/>
    </sheetView>
  </sheetViews>
  <sheetFormatPr defaultColWidth="8.77734375" defaultRowHeight="18" x14ac:dyDescent="0.35"/>
  <cols>
    <col min="1" max="1" width="14.77734375" customWidth="1"/>
    <col min="2" max="2" width="45.21875" style="5" customWidth="1"/>
    <col min="3" max="3" width="22.5546875" style="2" customWidth="1"/>
    <col min="4" max="4" width="22.77734375" style="2" bestFit="1" customWidth="1"/>
    <col min="5" max="5" width="19.44140625" style="2" bestFit="1" customWidth="1"/>
    <col min="6" max="6" width="41.77734375" style="6" customWidth="1"/>
    <col min="7" max="7" width="14.21875" style="2" customWidth="1"/>
    <col min="8" max="8" width="13.21875" style="11" customWidth="1"/>
    <col min="9" max="9" width="12" style="11" customWidth="1"/>
    <col min="10" max="10" width="12.5546875" style="1" customWidth="1"/>
    <col min="11" max="11" width="11.21875" style="11" customWidth="1"/>
    <col min="12" max="12" width="10.21875" style="21" customWidth="1"/>
    <col min="13" max="13" width="15.5546875" style="11" customWidth="1"/>
    <col min="14" max="14" width="12.5546875" style="11" customWidth="1"/>
    <col min="15" max="15" width="13.21875" style="1" customWidth="1"/>
    <col min="16" max="16" width="13.21875" style="11" customWidth="1"/>
    <col min="17" max="17" width="11.21875" style="21" customWidth="1"/>
    <col min="18" max="18" width="14.77734375" style="11" customWidth="1"/>
    <col min="19" max="19" width="14.21875" style="11" customWidth="1"/>
    <col min="20" max="20" width="17.21875" style="1" customWidth="1"/>
    <col min="21" max="21" width="13.44140625" style="1" customWidth="1"/>
    <col min="22" max="22" width="54.44140625" style="11" customWidth="1"/>
  </cols>
  <sheetData>
    <row r="2" spans="1:22" ht="32.25" customHeight="1" x14ac:dyDescent="0.3">
      <c r="B2" s="76" t="s">
        <v>19</v>
      </c>
      <c r="C2" s="76" t="s">
        <v>0</v>
      </c>
      <c r="D2" s="70" t="s">
        <v>561</v>
      </c>
      <c r="E2" s="72"/>
      <c r="F2" s="76" t="s">
        <v>1</v>
      </c>
      <c r="G2" s="76" t="s">
        <v>2</v>
      </c>
      <c r="H2" s="80" t="s">
        <v>3</v>
      </c>
      <c r="I2" s="80" t="s">
        <v>4</v>
      </c>
      <c r="J2" s="86" t="s">
        <v>5</v>
      </c>
      <c r="K2" s="76" t="s">
        <v>6</v>
      </c>
      <c r="L2" s="81" t="s">
        <v>7</v>
      </c>
      <c r="M2" s="80" t="s">
        <v>8</v>
      </c>
      <c r="N2" s="80" t="s">
        <v>9</v>
      </c>
      <c r="O2" s="86" t="s">
        <v>10</v>
      </c>
      <c r="P2" s="80" t="s">
        <v>11</v>
      </c>
      <c r="Q2" s="81" t="s">
        <v>7</v>
      </c>
      <c r="R2" s="80" t="s">
        <v>12</v>
      </c>
      <c r="S2" s="80" t="s">
        <v>13</v>
      </c>
      <c r="T2" s="83" t="s">
        <v>14</v>
      </c>
      <c r="U2" s="83" t="s">
        <v>15</v>
      </c>
      <c r="V2" s="79" t="s">
        <v>16</v>
      </c>
    </row>
    <row r="3" spans="1:22" ht="36" customHeight="1" x14ac:dyDescent="0.3">
      <c r="B3" s="77"/>
      <c r="C3" s="77"/>
      <c r="D3" s="73"/>
      <c r="E3" s="75"/>
      <c r="F3" s="77"/>
      <c r="G3" s="77"/>
      <c r="H3" s="80"/>
      <c r="I3" s="80"/>
      <c r="J3" s="86"/>
      <c r="K3" s="77"/>
      <c r="L3" s="82"/>
      <c r="M3" s="80"/>
      <c r="N3" s="80"/>
      <c r="O3" s="86"/>
      <c r="P3" s="80"/>
      <c r="Q3" s="82"/>
      <c r="R3" s="80"/>
      <c r="S3" s="80"/>
      <c r="T3" s="84"/>
      <c r="U3" s="84"/>
      <c r="V3" s="79"/>
    </row>
    <row r="4" spans="1:22" ht="51" customHeight="1" x14ac:dyDescent="0.3">
      <c r="B4" s="78"/>
      <c r="C4" s="78"/>
      <c r="D4" s="18" t="s">
        <v>17</v>
      </c>
      <c r="E4" s="18" t="s">
        <v>18</v>
      </c>
      <c r="F4" s="78"/>
      <c r="G4" s="78"/>
      <c r="H4" s="80"/>
      <c r="I4" s="80"/>
      <c r="J4" s="86"/>
      <c r="K4" s="78"/>
      <c r="L4" s="73"/>
      <c r="M4" s="80"/>
      <c r="N4" s="80"/>
      <c r="O4" s="86"/>
      <c r="P4" s="80"/>
      <c r="Q4" s="73"/>
      <c r="R4" s="80"/>
      <c r="S4" s="80"/>
      <c r="T4" s="85"/>
      <c r="U4" s="85"/>
      <c r="V4" s="79"/>
    </row>
    <row r="5" spans="1:22" ht="36" x14ac:dyDescent="0.3">
      <c r="B5" s="14" t="s">
        <v>496</v>
      </c>
      <c r="C5" s="64" t="s">
        <v>17</v>
      </c>
      <c r="D5" s="64">
        <v>15</v>
      </c>
      <c r="E5" s="64"/>
      <c r="F5" s="64" t="s">
        <v>540</v>
      </c>
      <c r="G5" s="12">
        <v>5</v>
      </c>
      <c r="H5" s="15">
        <v>150</v>
      </c>
      <c r="I5" s="15">
        <v>45</v>
      </c>
      <c r="J5" s="3">
        <v>0.5</v>
      </c>
      <c r="K5" s="15">
        <f>J5*30</f>
        <v>15</v>
      </c>
      <c r="L5" s="17">
        <v>1</v>
      </c>
      <c r="M5" s="15">
        <f>J5*L5</f>
        <v>0.5</v>
      </c>
      <c r="N5" s="15">
        <f>K5*L5</f>
        <v>15</v>
      </c>
      <c r="O5" s="3">
        <v>1</v>
      </c>
      <c r="P5" s="15">
        <f>O5*30</f>
        <v>30</v>
      </c>
      <c r="Q5" s="17">
        <v>1</v>
      </c>
      <c r="R5" s="15">
        <f>O5*Q5</f>
        <v>1</v>
      </c>
      <c r="S5" s="15">
        <f>P5*Q5</f>
        <v>30</v>
      </c>
      <c r="T5" s="4">
        <f>M5+R5</f>
        <v>1.5</v>
      </c>
      <c r="U5" s="3">
        <f>N5+S5</f>
        <v>45</v>
      </c>
      <c r="V5" s="19"/>
    </row>
    <row r="6" spans="1:22" ht="54" x14ac:dyDescent="0.35">
      <c r="A6" s="8"/>
      <c r="B6" s="14" t="s">
        <v>497</v>
      </c>
      <c r="C6" s="65"/>
      <c r="D6" s="65"/>
      <c r="E6" s="65"/>
      <c r="F6" s="65"/>
      <c r="G6" s="16">
        <v>4</v>
      </c>
      <c r="H6" s="15">
        <v>120</v>
      </c>
      <c r="I6" s="15">
        <v>45</v>
      </c>
      <c r="J6" s="3">
        <v>0.5</v>
      </c>
      <c r="K6" s="15">
        <f t="shared" ref="K6:K45" si="0">J6*30</f>
        <v>15</v>
      </c>
      <c r="L6" s="17">
        <v>1</v>
      </c>
      <c r="M6" s="15">
        <f t="shared" ref="M6:M45" si="1">J6*L6</f>
        <v>0.5</v>
      </c>
      <c r="N6" s="15">
        <f t="shared" ref="N6:N45" si="2">K6*L6</f>
        <v>15</v>
      </c>
      <c r="O6" s="3">
        <v>1</v>
      </c>
      <c r="P6" s="15">
        <f t="shared" ref="P6:P45" si="3">O6*30</f>
        <v>30</v>
      </c>
      <c r="Q6" s="17">
        <v>1</v>
      </c>
      <c r="R6" s="15">
        <f t="shared" ref="R6:R45" si="4">O6*Q6</f>
        <v>1</v>
      </c>
      <c r="S6" s="15">
        <f t="shared" ref="S6:S45" si="5">P6*Q6</f>
        <v>30</v>
      </c>
      <c r="T6" s="4">
        <f t="shared" ref="T6:T45" si="6">M6+R6</f>
        <v>1.5</v>
      </c>
      <c r="U6" s="3">
        <f t="shared" ref="U6:U45" si="7">N6+S6</f>
        <v>45</v>
      </c>
      <c r="V6" s="10"/>
    </row>
    <row r="7" spans="1:22" ht="54" x14ac:dyDescent="0.35">
      <c r="A7" s="8"/>
      <c r="B7" s="14" t="s">
        <v>498</v>
      </c>
      <c r="C7" s="65"/>
      <c r="D7" s="65"/>
      <c r="E7" s="65"/>
      <c r="F7" s="65"/>
      <c r="G7" s="16">
        <v>5</v>
      </c>
      <c r="H7" s="15">
        <v>150</v>
      </c>
      <c r="I7" s="15">
        <v>45</v>
      </c>
      <c r="J7" s="3">
        <v>0.5</v>
      </c>
      <c r="K7" s="15">
        <f t="shared" si="0"/>
        <v>15</v>
      </c>
      <c r="L7" s="17">
        <v>1</v>
      </c>
      <c r="M7" s="15">
        <f t="shared" si="1"/>
        <v>0.5</v>
      </c>
      <c r="N7" s="15">
        <f t="shared" si="2"/>
        <v>15</v>
      </c>
      <c r="O7" s="3">
        <v>1</v>
      </c>
      <c r="P7" s="15">
        <f t="shared" si="3"/>
        <v>30</v>
      </c>
      <c r="Q7" s="17">
        <v>1</v>
      </c>
      <c r="R7" s="15">
        <f t="shared" si="4"/>
        <v>1</v>
      </c>
      <c r="S7" s="15">
        <f t="shared" si="5"/>
        <v>30</v>
      </c>
      <c r="T7" s="4">
        <f t="shared" si="6"/>
        <v>1.5</v>
      </c>
      <c r="U7" s="3">
        <f t="shared" si="7"/>
        <v>45</v>
      </c>
      <c r="V7" s="10"/>
    </row>
    <row r="8" spans="1:22" ht="72" x14ac:dyDescent="0.3">
      <c r="A8" s="7"/>
      <c r="B8" s="14" t="s">
        <v>499</v>
      </c>
      <c r="C8" s="65"/>
      <c r="D8" s="65"/>
      <c r="E8" s="65"/>
      <c r="F8" s="65"/>
      <c r="G8" s="12">
        <v>6</v>
      </c>
      <c r="H8" s="15">
        <v>180</v>
      </c>
      <c r="I8" s="15">
        <v>60</v>
      </c>
      <c r="J8" s="3">
        <v>1</v>
      </c>
      <c r="K8" s="15">
        <f t="shared" si="0"/>
        <v>30</v>
      </c>
      <c r="L8" s="17">
        <v>1</v>
      </c>
      <c r="M8" s="15">
        <f t="shared" si="1"/>
        <v>1</v>
      </c>
      <c r="N8" s="15">
        <f t="shared" si="2"/>
        <v>30</v>
      </c>
      <c r="O8" s="3">
        <v>1</v>
      </c>
      <c r="P8" s="15">
        <f t="shared" si="3"/>
        <v>30</v>
      </c>
      <c r="Q8" s="17">
        <v>1</v>
      </c>
      <c r="R8" s="15">
        <f t="shared" si="4"/>
        <v>1</v>
      </c>
      <c r="S8" s="15">
        <f t="shared" si="5"/>
        <v>30</v>
      </c>
      <c r="T8" s="4">
        <f t="shared" si="6"/>
        <v>2</v>
      </c>
      <c r="U8" s="3">
        <f t="shared" si="7"/>
        <v>60</v>
      </c>
      <c r="V8" s="19"/>
    </row>
    <row r="9" spans="1:22" ht="72" x14ac:dyDescent="0.3">
      <c r="A9" s="7"/>
      <c r="B9" s="14" t="s">
        <v>500</v>
      </c>
      <c r="C9" s="66"/>
      <c r="D9" s="65"/>
      <c r="E9" s="65"/>
      <c r="F9" s="65"/>
      <c r="G9" s="12">
        <v>6</v>
      </c>
      <c r="H9" s="15">
        <v>180</v>
      </c>
      <c r="I9" s="15">
        <v>60</v>
      </c>
      <c r="J9" s="3">
        <v>1</v>
      </c>
      <c r="K9" s="15">
        <f t="shared" si="0"/>
        <v>30</v>
      </c>
      <c r="L9" s="17">
        <v>1</v>
      </c>
      <c r="M9" s="15">
        <f t="shared" si="1"/>
        <v>1</v>
      </c>
      <c r="N9" s="15">
        <f t="shared" si="2"/>
        <v>30</v>
      </c>
      <c r="O9" s="3">
        <v>1</v>
      </c>
      <c r="P9" s="15">
        <f t="shared" si="3"/>
        <v>30</v>
      </c>
      <c r="Q9" s="17">
        <v>1</v>
      </c>
      <c r="R9" s="15">
        <f t="shared" si="4"/>
        <v>1</v>
      </c>
      <c r="S9" s="15">
        <f t="shared" si="5"/>
        <v>30</v>
      </c>
      <c r="T9" s="4">
        <f t="shared" si="6"/>
        <v>2</v>
      </c>
      <c r="U9" s="3">
        <f t="shared" si="7"/>
        <v>60</v>
      </c>
      <c r="V9" s="19"/>
    </row>
    <row r="10" spans="1:22" ht="36" x14ac:dyDescent="0.3">
      <c r="A10" s="7"/>
      <c r="B10" s="14" t="s">
        <v>541</v>
      </c>
      <c r="C10" s="64" t="s">
        <v>206</v>
      </c>
      <c r="D10" s="64">
        <v>6</v>
      </c>
      <c r="E10" s="64">
        <v>1</v>
      </c>
      <c r="F10" s="64" t="s">
        <v>22</v>
      </c>
      <c r="G10" s="12">
        <v>5</v>
      </c>
      <c r="H10" s="15">
        <v>150</v>
      </c>
      <c r="I10" s="15">
        <v>45</v>
      </c>
      <c r="J10" s="3">
        <v>0.5</v>
      </c>
      <c r="K10" s="15">
        <f t="shared" si="0"/>
        <v>15</v>
      </c>
      <c r="L10" s="17">
        <v>1</v>
      </c>
      <c r="M10" s="15">
        <f t="shared" si="1"/>
        <v>0.5</v>
      </c>
      <c r="N10" s="15">
        <f t="shared" si="2"/>
        <v>15</v>
      </c>
      <c r="O10" s="3">
        <v>1</v>
      </c>
      <c r="P10" s="15">
        <f t="shared" si="3"/>
        <v>30</v>
      </c>
      <c r="Q10" s="17">
        <v>1</v>
      </c>
      <c r="R10" s="15">
        <f t="shared" si="4"/>
        <v>1</v>
      </c>
      <c r="S10" s="15">
        <f t="shared" si="5"/>
        <v>30</v>
      </c>
      <c r="T10" s="4">
        <f t="shared" si="6"/>
        <v>1.5</v>
      </c>
      <c r="U10" s="3">
        <f t="shared" si="7"/>
        <v>45</v>
      </c>
      <c r="V10" s="19" t="s">
        <v>587</v>
      </c>
    </row>
    <row r="11" spans="1:22" ht="36" x14ac:dyDescent="0.3">
      <c r="A11" s="7"/>
      <c r="B11" s="14" t="s">
        <v>542</v>
      </c>
      <c r="C11" s="65"/>
      <c r="D11" s="65"/>
      <c r="E11" s="65"/>
      <c r="F11" s="65"/>
      <c r="G11" s="12">
        <v>4</v>
      </c>
      <c r="H11" s="15">
        <v>120</v>
      </c>
      <c r="I11" s="15">
        <v>45</v>
      </c>
      <c r="J11" s="3">
        <v>0.5</v>
      </c>
      <c r="K11" s="15">
        <f t="shared" si="0"/>
        <v>15</v>
      </c>
      <c r="L11" s="17">
        <v>1</v>
      </c>
      <c r="M11" s="15">
        <f t="shared" si="1"/>
        <v>0.5</v>
      </c>
      <c r="N11" s="15">
        <f t="shared" si="2"/>
        <v>15</v>
      </c>
      <c r="O11" s="3">
        <v>1</v>
      </c>
      <c r="P11" s="15">
        <f t="shared" si="3"/>
        <v>30</v>
      </c>
      <c r="Q11" s="17">
        <v>1</v>
      </c>
      <c r="R11" s="15">
        <f t="shared" si="4"/>
        <v>1</v>
      </c>
      <c r="S11" s="15">
        <f t="shared" si="5"/>
        <v>30</v>
      </c>
      <c r="T11" s="4">
        <f t="shared" si="6"/>
        <v>1.5</v>
      </c>
      <c r="U11" s="3"/>
      <c r="V11" s="19" t="s">
        <v>588</v>
      </c>
    </row>
    <row r="12" spans="1:22" ht="54" x14ac:dyDescent="0.3">
      <c r="A12" s="7"/>
      <c r="B12" s="14" t="s">
        <v>543</v>
      </c>
      <c r="C12" s="65"/>
      <c r="D12" s="65"/>
      <c r="E12" s="65"/>
      <c r="F12" s="65"/>
      <c r="G12" s="12">
        <v>6</v>
      </c>
      <c r="H12" s="15">
        <v>180</v>
      </c>
      <c r="I12" s="15">
        <v>60</v>
      </c>
      <c r="J12" s="3">
        <v>1</v>
      </c>
      <c r="K12" s="15">
        <f t="shared" si="0"/>
        <v>30</v>
      </c>
      <c r="L12" s="17">
        <v>1</v>
      </c>
      <c r="M12" s="15">
        <f t="shared" si="1"/>
        <v>1</v>
      </c>
      <c r="N12" s="15">
        <f t="shared" si="2"/>
        <v>30</v>
      </c>
      <c r="O12" s="3">
        <v>1</v>
      </c>
      <c r="P12" s="15">
        <f t="shared" si="3"/>
        <v>30</v>
      </c>
      <c r="Q12" s="17">
        <v>1</v>
      </c>
      <c r="R12" s="15">
        <f t="shared" si="4"/>
        <v>1</v>
      </c>
      <c r="S12" s="15">
        <f t="shared" si="5"/>
        <v>30</v>
      </c>
      <c r="T12" s="4">
        <f t="shared" si="6"/>
        <v>2</v>
      </c>
      <c r="U12" s="3">
        <f t="shared" si="7"/>
        <v>60</v>
      </c>
      <c r="V12" s="19" t="s">
        <v>588</v>
      </c>
    </row>
    <row r="13" spans="1:22" ht="72" x14ac:dyDescent="0.3">
      <c r="A13" s="7"/>
      <c r="B13" s="14" t="s">
        <v>544</v>
      </c>
      <c r="C13" s="65"/>
      <c r="D13" s="65"/>
      <c r="E13" s="65"/>
      <c r="F13" s="65"/>
      <c r="G13" s="12">
        <v>6</v>
      </c>
      <c r="H13" s="15">
        <v>180</v>
      </c>
      <c r="I13" s="15">
        <v>60</v>
      </c>
      <c r="J13" s="3">
        <v>1</v>
      </c>
      <c r="K13" s="15">
        <f t="shared" si="0"/>
        <v>30</v>
      </c>
      <c r="L13" s="17">
        <v>1</v>
      </c>
      <c r="M13" s="15">
        <f t="shared" si="1"/>
        <v>1</v>
      </c>
      <c r="N13" s="15">
        <f t="shared" si="2"/>
        <v>30</v>
      </c>
      <c r="O13" s="3">
        <v>1</v>
      </c>
      <c r="P13" s="15">
        <f t="shared" si="3"/>
        <v>30</v>
      </c>
      <c r="Q13" s="17">
        <v>1</v>
      </c>
      <c r="R13" s="15">
        <f t="shared" si="4"/>
        <v>1</v>
      </c>
      <c r="S13" s="15">
        <f t="shared" si="5"/>
        <v>30</v>
      </c>
      <c r="T13" s="4">
        <f t="shared" si="6"/>
        <v>2</v>
      </c>
      <c r="U13" s="3">
        <f t="shared" si="7"/>
        <v>60</v>
      </c>
      <c r="V13" s="19" t="s">
        <v>586</v>
      </c>
    </row>
    <row r="14" spans="1:22" ht="72" x14ac:dyDescent="0.3">
      <c r="A14" s="7"/>
      <c r="B14" s="14" t="s">
        <v>545</v>
      </c>
      <c r="C14" s="66"/>
      <c r="D14" s="65"/>
      <c r="E14" s="65"/>
      <c r="F14" s="65"/>
      <c r="G14" s="12">
        <v>5</v>
      </c>
      <c r="H14" s="15">
        <v>150</v>
      </c>
      <c r="I14" s="15">
        <v>45</v>
      </c>
      <c r="J14" s="3">
        <v>0.5</v>
      </c>
      <c r="K14" s="15">
        <f t="shared" si="0"/>
        <v>15</v>
      </c>
      <c r="L14" s="17">
        <v>1</v>
      </c>
      <c r="M14" s="15">
        <f t="shared" si="1"/>
        <v>0.5</v>
      </c>
      <c r="N14" s="15">
        <f t="shared" si="2"/>
        <v>15</v>
      </c>
      <c r="O14" s="3">
        <v>1</v>
      </c>
      <c r="P14" s="15">
        <f t="shared" si="3"/>
        <v>30</v>
      </c>
      <c r="Q14" s="17">
        <v>1</v>
      </c>
      <c r="R14" s="15">
        <f t="shared" si="4"/>
        <v>1</v>
      </c>
      <c r="S14" s="15">
        <f t="shared" si="5"/>
        <v>30</v>
      </c>
      <c r="T14" s="4">
        <f t="shared" si="6"/>
        <v>1.5</v>
      </c>
      <c r="U14" s="3">
        <f t="shared" si="7"/>
        <v>45</v>
      </c>
      <c r="V14" s="19" t="s">
        <v>580</v>
      </c>
    </row>
    <row r="15" spans="1:22" ht="54" x14ac:dyDescent="0.3">
      <c r="A15" s="7"/>
      <c r="B15" s="14" t="s">
        <v>505</v>
      </c>
      <c r="C15" s="64" t="s">
        <v>206</v>
      </c>
      <c r="D15" s="64">
        <v>6</v>
      </c>
      <c r="E15" s="64">
        <v>1</v>
      </c>
      <c r="F15" s="64" t="s">
        <v>26</v>
      </c>
      <c r="G15" s="12">
        <v>4</v>
      </c>
      <c r="H15" s="15">
        <v>120</v>
      </c>
      <c r="I15" s="15">
        <v>45</v>
      </c>
      <c r="J15" s="3">
        <v>0.5</v>
      </c>
      <c r="K15" s="15">
        <f t="shared" si="0"/>
        <v>15</v>
      </c>
      <c r="L15" s="17">
        <v>1</v>
      </c>
      <c r="M15" s="15">
        <f t="shared" si="1"/>
        <v>0.5</v>
      </c>
      <c r="N15" s="15">
        <f t="shared" si="2"/>
        <v>15</v>
      </c>
      <c r="O15" s="3">
        <v>1</v>
      </c>
      <c r="P15" s="15">
        <f t="shared" si="3"/>
        <v>30</v>
      </c>
      <c r="Q15" s="17">
        <v>1</v>
      </c>
      <c r="R15" s="15">
        <f t="shared" si="4"/>
        <v>1</v>
      </c>
      <c r="S15" s="15">
        <f t="shared" si="5"/>
        <v>30</v>
      </c>
      <c r="T15" s="4">
        <f t="shared" si="6"/>
        <v>1.5</v>
      </c>
      <c r="U15" s="3">
        <f t="shared" si="7"/>
        <v>45</v>
      </c>
      <c r="V15" s="19"/>
    </row>
    <row r="16" spans="1:22" ht="36" x14ac:dyDescent="0.3">
      <c r="B16" s="14" t="s">
        <v>506</v>
      </c>
      <c r="C16" s="65"/>
      <c r="D16" s="65"/>
      <c r="E16" s="65"/>
      <c r="F16" s="65"/>
      <c r="G16" s="12">
        <v>5</v>
      </c>
      <c r="H16" s="15">
        <v>150</v>
      </c>
      <c r="I16" s="15">
        <v>45</v>
      </c>
      <c r="J16" s="3">
        <v>0.5</v>
      </c>
      <c r="K16" s="15">
        <f t="shared" si="0"/>
        <v>15</v>
      </c>
      <c r="L16" s="17">
        <v>1</v>
      </c>
      <c r="M16" s="15">
        <f t="shared" si="1"/>
        <v>0.5</v>
      </c>
      <c r="N16" s="15">
        <f t="shared" si="2"/>
        <v>15</v>
      </c>
      <c r="O16" s="3">
        <v>1</v>
      </c>
      <c r="P16" s="15">
        <f t="shared" si="3"/>
        <v>30</v>
      </c>
      <c r="Q16" s="17">
        <v>1</v>
      </c>
      <c r="R16" s="15">
        <f t="shared" si="4"/>
        <v>1</v>
      </c>
      <c r="S16" s="15">
        <f t="shared" si="5"/>
        <v>30</v>
      </c>
      <c r="T16" s="4">
        <f t="shared" si="6"/>
        <v>1.5</v>
      </c>
      <c r="U16" s="3">
        <f t="shared" si="7"/>
        <v>45</v>
      </c>
      <c r="V16" s="19"/>
    </row>
    <row r="17" spans="1:22" ht="54" x14ac:dyDescent="0.3">
      <c r="B17" s="14" t="s">
        <v>509</v>
      </c>
      <c r="C17" s="65"/>
      <c r="D17" s="65"/>
      <c r="E17" s="65"/>
      <c r="F17" s="65"/>
      <c r="G17" s="12">
        <v>6</v>
      </c>
      <c r="H17" s="15">
        <v>180</v>
      </c>
      <c r="I17" s="15">
        <v>60</v>
      </c>
      <c r="J17" s="3">
        <v>1</v>
      </c>
      <c r="K17" s="15">
        <f t="shared" si="0"/>
        <v>30</v>
      </c>
      <c r="L17" s="17">
        <v>1</v>
      </c>
      <c r="M17" s="15">
        <f t="shared" si="1"/>
        <v>1</v>
      </c>
      <c r="N17" s="15">
        <f t="shared" si="2"/>
        <v>30</v>
      </c>
      <c r="O17" s="3">
        <v>1</v>
      </c>
      <c r="P17" s="15">
        <f t="shared" si="3"/>
        <v>30</v>
      </c>
      <c r="Q17" s="17">
        <v>1</v>
      </c>
      <c r="R17" s="15">
        <f t="shared" si="4"/>
        <v>1</v>
      </c>
      <c r="S17" s="15">
        <f t="shared" si="5"/>
        <v>30</v>
      </c>
      <c r="T17" s="4">
        <f t="shared" si="6"/>
        <v>2</v>
      </c>
      <c r="U17" s="3">
        <f t="shared" si="7"/>
        <v>60</v>
      </c>
      <c r="V17" s="19"/>
    </row>
    <row r="18" spans="1:22" ht="72" x14ac:dyDescent="0.3">
      <c r="B18" s="14" t="s">
        <v>507</v>
      </c>
      <c r="C18" s="65"/>
      <c r="D18" s="65"/>
      <c r="E18" s="65"/>
      <c r="F18" s="65"/>
      <c r="G18" s="12">
        <v>6</v>
      </c>
      <c r="H18" s="15">
        <v>180</v>
      </c>
      <c r="I18" s="15">
        <v>60</v>
      </c>
      <c r="J18" s="3">
        <v>1</v>
      </c>
      <c r="K18" s="15">
        <f t="shared" si="0"/>
        <v>30</v>
      </c>
      <c r="L18" s="17">
        <v>1</v>
      </c>
      <c r="M18" s="15">
        <f t="shared" si="1"/>
        <v>1</v>
      </c>
      <c r="N18" s="15">
        <f t="shared" si="2"/>
        <v>30</v>
      </c>
      <c r="O18" s="3">
        <v>1</v>
      </c>
      <c r="P18" s="15">
        <f t="shared" si="3"/>
        <v>30</v>
      </c>
      <c r="Q18" s="17">
        <v>1</v>
      </c>
      <c r="R18" s="15">
        <f t="shared" si="4"/>
        <v>1</v>
      </c>
      <c r="S18" s="15">
        <f t="shared" si="5"/>
        <v>30</v>
      </c>
      <c r="T18" s="4">
        <f t="shared" si="6"/>
        <v>2</v>
      </c>
      <c r="U18" s="3">
        <f t="shared" si="7"/>
        <v>60</v>
      </c>
      <c r="V18" s="19"/>
    </row>
    <row r="19" spans="1:22" ht="72" x14ac:dyDescent="0.3">
      <c r="B19" s="14" t="s">
        <v>508</v>
      </c>
      <c r="C19" s="66"/>
      <c r="D19" s="65"/>
      <c r="E19" s="65"/>
      <c r="F19" s="65"/>
      <c r="G19" s="12">
        <v>5</v>
      </c>
      <c r="H19" s="15">
        <v>150</v>
      </c>
      <c r="I19" s="15">
        <v>45</v>
      </c>
      <c r="J19" s="3">
        <v>0.5</v>
      </c>
      <c r="K19" s="15">
        <f t="shared" si="0"/>
        <v>15</v>
      </c>
      <c r="L19" s="17">
        <v>1</v>
      </c>
      <c r="M19" s="15">
        <f t="shared" si="1"/>
        <v>0.5</v>
      </c>
      <c r="N19" s="15">
        <f t="shared" si="2"/>
        <v>15</v>
      </c>
      <c r="O19" s="3">
        <v>1</v>
      </c>
      <c r="P19" s="15">
        <f t="shared" si="3"/>
        <v>30</v>
      </c>
      <c r="Q19" s="17">
        <v>1</v>
      </c>
      <c r="R19" s="15">
        <f t="shared" si="4"/>
        <v>1</v>
      </c>
      <c r="S19" s="15">
        <f t="shared" si="5"/>
        <v>30</v>
      </c>
      <c r="T19" s="4">
        <f t="shared" si="6"/>
        <v>1.5</v>
      </c>
      <c r="U19" s="3">
        <f t="shared" si="7"/>
        <v>45</v>
      </c>
      <c r="V19" s="19"/>
    </row>
    <row r="20" spans="1:22" ht="36" x14ac:dyDescent="0.35">
      <c r="A20" s="8"/>
      <c r="B20" s="14" t="s">
        <v>546</v>
      </c>
      <c r="C20" s="64" t="s">
        <v>206</v>
      </c>
      <c r="D20" s="64">
        <v>12</v>
      </c>
      <c r="E20" s="64">
        <v>2</v>
      </c>
      <c r="F20" s="64" t="s">
        <v>24</v>
      </c>
      <c r="G20" s="16">
        <v>4</v>
      </c>
      <c r="H20" s="15">
        <v>120</v>
      </c>
      <c r="I20" s="15">
        <v>45</v>
      </c>
      <c r="J20" s="3">
        <v>0.5</v>
      </c>
      <c r="K20" s="15">
        <f t="shared" si="0"/>
        <v>15</v>
      </c>
      <c r="L20" s="17">
        <v>1</v>
      </c>
      <c r="M20" s="15">
        <f t="shared" si="1"/>
        <v>0.5</v>
      </c>
      <c r="N20" s="15">
        <f t="shared" si="2"/>
        <v>15</v>
      </c>
      <c r="O20" s="3">
        <v>1</v>
      </c>
      <c r="P20" s="15">
        <f t="shared" si="3"/>
        <v>30</v>
      </c>
      <c r="Q20" s="17">
        <v>1</v>
      </c>
      <c r="R20" s="15">
        <f t="shared" si="4"/>
        <v>1</v>
      </c>
      <c r="S20" s="15">
        <f t="shared" si="5"/>
        <v>30</v>
      </c>
      <c r="T20" s="4">
        <f t="shared" si="6"/>
        <v>1.5</v>
      </c>
      <c r="U20" s="3">
        <f t="shared" si="7"/>
        <v>45</v>
      </c>
      <c r="V20" s="10"/>
    </row>
    <row r="21" spans="1:22" ht="54" x14ac:dyDescent="0.35">
      <c r="A21" s="8"/>
      <c r="B21" s="14" t="s">
        <v>547</v>
      </c>
      <c r="C21" s="65"/>
      <c r="D21" s="65"/>
      <c r="E21" s="65"/>
      <c r="F21" s="65"/>
      <c r="G21" s="16">
        <v>5</v>
      </c>
      <c r="H21" s="15">
        <v>150</v>
      </c>
      <c r="I21" s="15">
        <v>45</v>
      </c>
      <c r="J21" s="3">
        <v>0.5</v>
      </c>
      <c r="K21" s="15">
        <f t="shared" si="0"/>
        <v>15</v>
      </c>
      <c r="L21" s="17">
        <v>1</v>
      </c>
      <c r="M21" s="15">
        <f t="shared" si="1"/>
        <v>0.5</v>
      </c>
      <c r="N21" s="15">
        <f t="shared" si="2"/>
        <v>15</v>
      </c>
      <c r="O21" s="3">
        <v>1</v>
      </c>
      <c r="P21" s="15">
        <f t="shared" si="3"/>
        <v>30</v>
      </c>
      <c r="Q21" s="17">
        <v>1</v>
      </c>
      <c r="R21" s="15">
        <f t="shared" si="4"/>
        <v>1</v>
      </c>
      <c r="S21" s="15">
        <f t="shared" si="5"/>
        <v>30</v>
      </c>
      <c r="T21" s="4">
        <f t="shared" si="6"/>
        <v>1.5</v>
      </c>
      <c r="U21" s="3">
        <f t="shared" si="7"/>
        <v>45</v>
      </c>
      <c r="V21" s="10"/>
    </row>
    <row r="22" spans="1:22" ht="90" x14ac:dyDescent="0.3">
      <c r="A22" s="7"/>
      <c r="B22" s="14" t="s">
        <v>548</v>
      </c>
      <c r="C22" s="65"/>
      <c r="D22" s="65"/>
      <c r="E22" s="65"/>
      <c r="F22" s="65"/>
      <c r="G22" s="12">
        <v>6</v>
      </c>
      <c r="H22" s="15">
        <v>180</v>
      </c>
      <c r="I22" s="15">
        <v>60</v>
      </c>
      <c r="J22" s="3">
        <v>1</v>
      </c>
      <c r="K22" s="15">
        <f t="shared" si="0"/>
        <v>30</v>
      </c>
      <c r="L22" s="17">
        <v>1</v>
      </c>
      <c r="M22" s="15">
        <f t="shared" si="1"/>
        <v>1</v>
      </c>
      <c r="N22" s="15">
        <f t="shared" si="2"/>
        <v>30</v>
      </c>
      <c r="O22" s="3">
        <v>1</v>
      </c>
      <c r="P22" s="15">
        <f t="shared" si="3"/>
        <v>30</v>
      </c>
      <c r="Q22" s="17">
        <v>1</v>
      </c>
      <c r="R22" s="15">
        <f t="shared" si="4"/>
        <v>1</v>
      </c>
      <c r="S22" s="15">
        <f t="shared" si="5"/>
        <v>30</v>
      </c>
      <c r="T22" s="4">
        <f t="shared" si="6"/>
        <v>2</v>
      </c>
      <c r="U22" s="3">
        <f t="shared" si="7"/>
        <v>60</v>
      </c>
      <c r="V22" s="19"/>
    </row>
    <row r="23" spans="1:22" ht="54" x14ac:dyDescent="0.3">
      <c r="A23" s="7"/>
      <c r="B23" s="14" t="s">
        <v>549</v>
      </c>
      <c r="C23" s="65"/>
      <c r="D23" s="65"/>
      <c r="E23" s="65"/>
      <c r="F23" s="65"/>
      <c r="G23" s="12">
        <v>6</v>
      </c>
      <c r="H23" s="15">
        <v>180</v>
      </c>
      <c r="I23" s="15">
        <v>60</v>
      </c>
      <c r="J23" s="3">
        <v>1</v>
      </c>
      <c r="K23" s="15">
        <f t="shared" si="0"/>
        <v>30</v>
      </c>
      <c r="L23" s="17">
        <v>1</v>
      </c>
      <c r="M23" s="15">
        <f t="shared" si="1"/>
        <v>1</v>
      </c>
      <c r="N23" s="15">
        <f t="shared" si="2"/>
        <v>30</v>
      </c>
      <c r="O23" s="3">
        <v>1</v>
      </c>
      <c r="P23" s="15">
        <f t="shared" si="3"/>
        <v>30</v>
      </c>
      <c r="Q23" s="17">
        <v>1</v>
      </c>
      <c r="R23" s="15">
        <f t="shared" si="4"/>
        <v>1</v>
      </c>
      <c r="S23" s="15">
        <f t="shared" si="5"/>
        <v>30</v>
      </c>
      <c r="T23" s="4">
        <f t="shared" si="6"/>
        <v>2</v>
      </c>
      <c r="U23" s="3">
        <f t="shared" si="7"/>
        <v>60</v>
      </c>
      <c r="V23" s="19"/>
    </row>
    <row r="24" spans="1:22" ht="54" x14ac:dyDescent="0.3">
      <c r="A24" s="7"/>
      <c r="B24" s="14" t="s">
        <v>550</v>
      </c>
      <c r="C24" s="66"/>
      <c r="D24" s="65"/>
      <c r="E24" s="65"/>
      <c r="F24" s="65"/>
      <c r="G24" s="12">
        <v>5</v>
      </c>
      <c r="H24" s="15">
        <v>150</v>
      </c>
      <c r="I24" s="15">
        <v>45</v>
      </c>
      <c r="J24" s="3">
        <v>0.5</v>
      </c>
      <c r="K24" s="15">
        <f t="shared" si="0"/>
        <v>15</v>
      </c>
      <c r="L24" s="17">
        <v>1</v>
      </c>
      <c r="M24" s="15">
        <f t="shared" si="1"/>
        <v>0.5</v>
      </c>
      <c r="N24" s="15">
        <f t="shared" si="2"/>
        <v>15</v>
      </c>
      <c r="O24" s="3">
        <v>1</v>
      </c>
      <c r="P24" s="15">
        <f t="shared" si="3"/>
        <v>30</v>
      </c>
      <c r="Q24" s="17">
        <v>1</v>
      </c>
      <c r="R24" s="15">
        <f t="shared" si="4"/>
        <v>1</v>
      </c>
      <c r="S24" s="15">
        <f t="shared" si="5"/>
        <v>30</v>
      </c>
      <c r="T24" s="4">
        <f t="shared" si="6"/>
        <v>1.5</v>
      </c>
      <c r="U24" s="3">
        <f t="shared" si="7"/>
        <v>45</v>
      </c>
      <c r="V24" s="19"/>
    </row>
    <row r="25" spans="1:22" ht="36" x14ac:dyDescent="0.3">
      <c r="A25" s="7"/>
      <c r="B25" s="14" t="s">
        <v>551</v>
      </c>
      <c r="C25" s="64" t="s">
        <v>206</v>
      </c>
      <c r="D25" s="64">
        <v>9</v>
      </c>
      <c r="E25" s="64">
        <v>0</v>
      </c>
      <c r="F25" s="64" t="s">
        <v>23</v>
      </c>
      <c r="G25" s="12">
        <v>4</v>
      </c>
      <c r="H25" s="15">
        <v>120</v>
      </c>
      <c r="I25" s="15">
        <v>45</v>
      </c>
      <c r="J25" s="3">
        <v>0.5</v>
      </c>
      <c r="K25" s="15">
        <f t="shared" si="0"/>
        <v>15</v>
      </c>
      <c r="L25" s="17">
        <v>1</v>
      </c>
      <c r="M25" s="15">
        <f t="shared" si="1"/>
        <v>0.5</v>
      </c>
      <c r="N25" s="15">
        <f t="shared" si="2"/>
        <v>15</v>
      </c>
      <c r="O25" s="3">
        <v>1</v>
      </c>
      <c r="P25" s="15">
        <f t="shared" si="3"/>
        <v>30</v>
      </c>
      <c r="Q25" s="17">
        <v>1</v>
      </c>
      <c r="R25" s="15">
        <f t="shared" si="4"/>
        <v>1</v>
      </c>
      <c r="S25" s="15">
        <f t="shared" si="5"/>
        <v>30</v>
      </c>
      <c r="T25" s="4">
        <f t="shared" si="6"/>
        <v>1.5</v>
      </c>
      <c r="U25" s="3">
        <f t="shared" si="7"/>
        <v>45</v>
      </c>
      <c r="V25" s="19" t="s">
        <v>592</v>
      </c>
    </row>
    <row r="26" spans="1:22" ht="36" x14ac:dyDescent="0.3">
      <c r="A26" s="7"/>
      <c r="B26" s="14" t="s">
        <v>532</v>
      </c>
      <c r="C26" s="65"/>
      <c r="D26" s="65"/>
      <c r="E26" s="65"/>
      <c r="F26" s="65"/>
      <c r="G26" s="12">
        <v>5</v>
      </c>
      <c r="H26" s="15">
        <v>150</v>
      </c>
      <c r="I26" s="15">
        <v>45</v>
      </c>
      <c r="J26" s="3">
        <v>0.5</v>
      </c>
      <c r="K26" s="15">
        <f t="shared" si="0"/>
        <v>15</v>
      </c>
      <c r="L26" s="17">
        <v>1</v>
      </c>
      <c r="M26" s="15">
        <f t="shared" si="1"/>
        <v>0.5</v>
      </c>
      <c r="N26" s="15">
        <f t="shared" si="2"/>
        <v>15</v>
      </c>
      <c r="O26" s="3">
        <v>1</v>
      </c>
      <c r="P26" s="15">
        <f t="shared" si="3"/>
        <v>30</v>
      </c>
      <c r="Q26" s="17">
        <v>1</v>
      </c>
      <c r="R26" s="15">
        <f t="shared" si="4"/>
        <v>1</v>
      </c>
      <c r="S26" s="15">
        <f t="shared" si="5"/>
        <v>30</v>
      </c>
      <c r="T26" s="4">
        <f t="shared" si="6"/>
        <v>1.5</v>
      </c>
      <c r="U26" s="3">
        <f t="shared" si="7"/>
        <v>45</v>
      </c>
      <c r="V26" s="19" t="s">
        <v>594</v>
      </c>
    </row>
    <row r="27" spans="1:22" ht="36" x14ac:dyDescent="0.3">
      <c r="A27" s="7"/>
      <c r="B27" s="14" t="s">
        <v>552</v>
      </c>
      <c r="C27" s="65"/>
      <c r="D27" s="65"/>
      <c r="E27" s="65"/>
      <c r="F27" s="65"/>
      <c r="G27" s="12">
        <v>5</v>
      </c>
      <c r="H27" s="15">
        <v>150</v>
      </c>
      <c r="I27" s="15">
        <v>45</v>
      </c>
      <c r="J27" s="3">
        <v>0.5</v>
      </c>
      <c r="K27" s="15">
        <f t="shared" si="0"/>
        <v>15</v>
      </c>
      <c r="L27" s="17">
        <v>1</v>
      </c>
      <c r="M27" s="15">
        <f t="shared" si="1"/>
        <v>0.5</v>
      </c>
      <c r="N27" s="15">
        <f t="shared" si="2"/>
        <v>15</v>
      </c>
      <c r="O27" s="3">
        <v>1</v>
      </c>
      <c r="P27" s="15">
        <f t="shared" si="3"/>
        <v>30</v>
      </c>
      <c r="Q27" s="17">
        <v>1</v>
      </c>
      <c r="R27" s="15">
        <f t="shared" si="4"/>
        <v>1</v>
      </c>
      <c r="S27" s="15">
        <f t="shared" si="5"/>
        <v>30</v>
      </c>
      <c r="T27" s="4">
        <f t="shared" si="6"/>
        <v>1.5</v>
      </c>
      <c r="U27" s="3">
        <f t="shared" si="7"/>
        <v>45</v>
      </c>
      <c r="V27" s="19" t="s">
        <v>592</v>
      </c>
    </row>
    <row r="28" spans="1:22" ht="90" x14ac:dyDescent="0.3">
      <c r="A28" s="7"/>
      <c r="B28" s="14" t="s">
        <v>553</v>
      </c>
      <c r="C28" s="65"/>
      <c r="D28" s="65"/>
      <c r="E28" s="65"/>
      <c r="F28" s="65"/>
      <c r="G28" s="12">
        <v>6</v>
      </c>
      <c r="H28" s="15">
        <v>180</v>
      </c>
      <c r="I28" s="15">
        <v>60</v>
      </c>
      <c r="J28" s="3">
        <v>1</v>
      </c>
      <c r="K28" s="15">
        <f t="shared" si="0"/>
        <v>30</v>
      </c>
      <c r="L28" s="17">
        <v>1</v>
      </c>
      <c r="M28" s="15">
        <f t="shared" si="1"/>
        <v>1</v>
      </c>
      <c r="N28" s="15">
        <f t="shared" si="2"/>
        <v>30</v>
      </c>
      <c r="O28" s="3">
        <v>1</v>
      </c>
      <c r="P28" s="15">
        <f t="shared" si="3"/>
        <v>30</v>
      </c>
      <c r="Q28" s="17">
        <v>1</v>
      </c>
      <c r="R28" s="15">
        <f t="shared" si="4"/>
        <v>1</v>
      </c>
      <c r="S28" s="15">
        <f t="shared" si="5"/>
        <v>30</v>
      </c>
      <c r="T28" s="4">
        <f t="shared" si="6"/>
        <v>2</v>
      </c>
      <c r="U28" s="3">
        <f t="shared" si="7"/>
        <v>60</v>
      </c>
      <c r="V28" s="19" t="s">
        <v>595</v>
      </c>
    </row>
    <row r="29" spans="1:22" ht="36" x14ac:dyDescent="0.3">
      <c r="A29" s="7"/>
      <c r="B29" s="14" t="s">
        <v>554</v>
      </c>
      <c r="C29" s="66"/>
      <c r="D29" s="65"/>
      <c r="E29" s="65"/>
      <c r="F29" s="65"/>
      <c r="G29" s="12">
        <v>6</v>
      </c>
      <c r="H29" s="15">
        <v>180</v>
      </c>
      <c r="I29" s="15">
        <v>60</v>
      </c>
      <c r="J29" s="3">
        <v>1</v>
      </c>
      <c r="K29" s="15">
        <f t="shared" si="0"/>
        <v>30</v>
      </c>
      <c r="L29" s="17">
        <v>1</v>
      </c>
      <c r="M29" s="15">
        <f t="shared" si="1"/>
        <v>1</v>
      </c>
      <c r="N29" s="15">
        <f t="shared" si="2"/>
        <v>30</v>
      </c>
      <c r="O29" s="3">
        <v>1</v>
      </c>
      <c r="P29" s="15">
        <f t="shared" si="3"/>
        <v>30</v>
      </c>
      <c r="Q29" s="17">
        <v>1</v>
      </c>
      <c r="R29" s="15">
        <f t="shared" si="4"/>
        <v>1</v>
      </c>
      <c r="S29" s="15">
        <f t="shared" si="5"/>
        <v>30</v>
      </c>
      <c r="T29" s="4">
        <f t="shared" si="6"/>
        <v>2</v>
      </c>
      <c r="U29" s="3">
        <f t="shared" si="7"/>
        <v>60</v>
      </c>
      <c r="V29" s="19" t="s">
        <v>593</v>
      </c>
    </row>
    <row r="30" spans="1:22" ht="36" x14ac:dyDescent="0.3">
      <c r="B30" s="14" t="s">
        <v>513</v>
      </c>
      <c r="C30" s="64" t="s">
        <v>206</v>
      </c>
      <c r="D30" s="64">
        <v>22</v>
      </c>
      <c r="E30" s="64">
        <v>4</v>
      </c>
      <c r="F30" s="64" t="s">
        <v>281</v>
      </c>
      <c r="G30" s="12">
        <v>4</v>
      </c>
      <c r="H30" s="15">
        <v>120</v>
      </c>
      <c r="I30" s="15">
        <v>45</v>
      </c>
      <c r="J30" s="3">
        <v>0.5</v>
      </c>
      <c r="K30" s="15">
        <f t="shared" si="0"/>
        <v>15</v>
      </c>
      <c r="L30" s="17">
        <v>1</v>
      </c>
      <c r="M30" s="15">
        <f t="shared" si="1"/>
        <v>0.5</v>
      </c>
      <c r="N30" s="15">
        <f t="shared" si="2"/>
        <v>15</v>
      </c>
      <c r="O30" s="3">
        <v>1</v>
      </c>
      <c r="P30" s="15">
        <f t="shared" si="3"/>
        <v>30</v>
      </c>
      <c r="Q30" s="17">
        <v>1</v>
      </c>
      <c r="R30" s="15">
        <f t="shared" si="4"/>
        <v>1</v>
      </c>
      <c r="S30" s="15">
        <f t="shared" si="5"/>
        <v>30</v>
      </c>
      <c r="T30" s="4">
        <f t="shared" si="6"/>
        <v>1.5</v>
      </c>
      <c r="U30" s="3">
        <f t="shared" si="7"/>
        <v>45</v>
      </c>
      <c r="V30" s="19"/>
    </row>
    <row r="31" spans="1:22" ht="36" x14ac:dyDescent="0.3">
      <c r="B31" s="14" t="s">
        <v>514</v>
      </c>
      <c r="C31" s="65"/>
      <c r="D31" s="65"/>
      <c r="E31" s="65"/>
      <c r="F31" s="65"/>
      <c r="G31" s="12">
        <v>5</v>
      </c>
      <c r="H31" s="15">
        <v>150</v>
      </c>
      <c r="I31" s="15">
        <v>45</v>
      </c>
      <c r="J31" s="3">
        <v>0.5</v>
      </c>
      <c r="K31" s="15">
        <f t="shared" si="0"/>
        <v>15</v>
      </c>
      <c r="L31" s="17">
        <v>1</v>
      </c>
      <c r="M31" s="15">
        <f t="shared" si="1"/>
        <v>0.5</v>
      </c>
      <c r="N31" s="15">
        <f t="shared" si="2"/>
        <v>15</v>
      </c>
      <c r="O31" s="3">
        <v>1</v>
      </c>
      <c r="P31" s="15">
        <f t="shared" si="3"/>
        <v>30</v>
      </c>
      <c r="Q31" s="17">
        <v>1</v>
      </c>
      <c r="R31" s="15">
        <f t="shared" si="4"/>
        <v>1</v>
      </c>
      <c r="S31" s="15">
        <f t="shared" si="5"/>
        <v>30</v>
      </c>
      <c r="T31" s="4">
        <f t="shared" si="6"/>
        <v>1.5</v>
      </c>
      <c r="U31" s="3">
        <f t="shared" si="7"/>
        <v>45</v>
      </c>
      <c r="V31" s="19"/>
    </row>
    <row r="32" spans="1:22" ht="54" x14ac:dyDescent="0.3">
      <c r="B32" s="14" t="s">
        <v>515</v>
      </c>
      <c r="C32" s="65"/>
      <c r="D32" s="65"/>
      <c r="E32" s="65"/>
      <c r="F32" s="65"/>
      <c r="G32" s="12">
        <v>6</v>
      </c>
      <c r="H32" s="15">
        <v>180</v>
      </c>
      <c r="I32" s="15">
        <v>60</v>
      </c>
      <c r="J32" s="3">
        <v>1</v>
      </c>
      <c r="K32" s="15">
        <f t="shared" si="0"/>
        <v>30</v>
      </c>
      <c r="L32" s="17">
        <v>1</v>
      </c>
      <c r="M32" s="15">
        <f t="shared" si="1"/>
        <v>1</v>
      </c>
      <c r="N32" s="15">
        <f t="shared" si="2"/>
        <v>30</v>
      </c>
      <c r="O32" s="3">
        <v>1</v>
      </c>
      <c r="P32" s="15">
        <f t="shared" si="3"/>
        <v>30</v>
      </c>
      <c r="Q32" s="17">
        <v>1</v>
      </c>
      <c r="R32" s="15">
        <f t="shared" si="4"/>
        <v>1</v>
      </c>
      <c r="S32" s="15">
        <f t="shared" si="5"/>
        <v>30</v>
      </c>
      <c r="T32" s="4">
        <f t="shared" si="6"/>
        <v>2</v>
      </c>
      <c r="U32" s="3">
        <f t="shared" si="7"/>
        <v>60</v>
      </c>
      <c r="V32" s="19"/>
    </row>
    <row r="33" spans="1:22" ht="72" x14ac:dyDescent="0.3">
      <c r="B33" s="14" t="s">
        <v>516</v>
      </c>
      <c r="C33" s="65"/>
      <c r="D33" s="65"/>
      <c r="E33" s="65"/>
      <c r="F33" s="65"/>
      <c r="G33" s="12">
        <v>6</v>
      </c>
      <c r="H33" s="15">
        <v>180</v>
      </c>
      <c r="I33" s="15">
        <v>60</v>
      </c>
      <c r="J33" s="3">
        <v>1</v>
      </c>
      <c r="K33" s="15">
        <f t="shared" si="0"/>
        <v>30</v>
      </c>
      <c r="L33" s="17">
        <v>1</v>
      </c>
      <c r="M33" s="15">
        <f t="shared" si="1"/>
        <v>1</v>
      </c>
      <c r="N33" s="15">
        <f t="shared" si="2"/>
        <v>30</v>
      </c>
      <c r="O33" s="3">
        <v>1</v>
      </c>
      <c r="P33" s="15">
        <f t="shared" si="3"/>
        <v>30</v>
      </c>
      <c r="Q33" s="17">
        <v>1</v>
      </c>
      <c r="R33" s="15">
        <f t="shared" si="4"/>
        <v>1</v>
      </c>
      <c r="S33" s="15">
        <f t="shared" si="5"/>
        <v>30</v>
      </c>
      <c r="T33" s="4">
        <f t="shared" si="6"/>
        <v>2</v>
      </c>
      <c r="U33" s="3">
        <f t="shared" si="7"/>
        <v>60</v>
      </c>
      <c r="V33" s="19"/>
    </row>
    <row r="34" spans="1:22" ht="90" x14ac:dyDescent="0.35">
      <c r="A34" s="8"/>
      <c r="B34" s="14" t="s">
        <v>517</v>
      </c>
      <c r="C34" s="66"/>
      <c r="D34" s="65"/>
      <c r="E34" s="65"/>
      <c r="F34" s="65"/>
      <c r="G34" s="16">
        <v>5</v>
      </c>
      <c r="H34" s="15">
        <v>150</v>
      </c>
      <c r="I34" s="15">
        <v>45</v>
      </c>
      <c r="J34" s="3">
        <v>0.5</v>
      </c>
      <c r="K34" s="15">
        <f t="shared" si="0"/>
        <v>15</v>
      </c>
      <c r="L34" s="17">
        <v>1</v>
      </c>
      <c r="M34" s="15">
        <f t="shared" si="1"/>
        <v>0.5</v>
      </c>
      <c r="N34" s="15">
        <f t="shared" si="2"/>
        <v>15</v>
      </c>
      <c r="O34" s="3">
        <v>1</v>
      </c>
      <c r="P34" s="15">
        <f t="shared" si="3"/>
        <v>30</v>
      </c>
      <c r="Q34" s="17">
        <v>1</v>
      </c>
      <c r="R34" s="15">
        <f t="shared" si="4"/>
        <v>1</v>
      </c>
      <c r="S34" s="15">
        <f t="shared" si="5"/>
        <v>30</v>
      </c>
      <c r="T34" s="4">
        <f t="shared" si="6"/>
        <v>1.5</v>
      </c>
      <c r="U34" s="3">
        <f t="shared" si="7"/>
        <v>45</v>
      </c>
      <c r="V34" s="10"/>
    </row>
    <row r="35" spans="1:22" ht="36" x14ac:dyDescent="0.35">
      <c r="A35" s="8"/>
      <c r="B35" s="14" t="s">
        <v>521</v>
      </c>
      <c r="C35" s="64" t="s">
        <v>17</v>
      </c>
      <c r="D35" s="64">
        <v>1</v>
      </c>
      <c r="E35" s="64"/>
      <c r="F35" s="64" t="s">
        <v>28</v>
      </c>
      <c r="G35" s="16">
        <v>5</v>
      </c>
      <c r="H35" s="15">
        <v>150</v>
      </c>
      <c r="I35" s="15">
        <v>45</v>
      </c>
      <c r="J35" s="3">
        <v>0.5</v>
      </c>
      <c r="K35" s="15">
        <f t="shared" si="0"/>
        <v>15</v>
      </c>
      <c r="L35" s="17">
        <v>1</v>
      </c>
      <c r="M35" s="15">
        <f t="shared" si="1"/>
        <v>0.5</v>
      </c>
      <c r="N35" s="15">
        <f t="shared" si="2"/>
        <v>15</v>
      </c>
      <c r="O35" s="3">
        <v>1</v>
      </c>
      <c r="P35" s="15">
        <f t="shared" si="3"/>
        <v>30</v>
      </c>
      <c r="Q35" s="17">
        <v>1</v>
      </c>
      <c r="R35" s="15">
        <f t="shared" si="4"/>
        <v>1</v>
      </c>
      <c r="S35" s="15">
        <f t="shared" si="5"/>
        <v>30</v>
      </c>
      <c r="T35" s="30">
        <v>0</v>
      </c>
      <c r="U35" s="28">
        <v>0</v>
      </c>
      <c r="V35" s="10"/>
    </row>
    <row r="36" spans="1:22" ht="54" x14ac:dyDescent="0.3">
      <c r="A36" s="7"/>
      <c r="B36" s="14" t="s">
        <v>522</v>
      </c>
      <c r="C36" s="65"/>
      <c r="D36" s="65"/>
      <c r="E36" s="65"/>
      <c r="F36" s="65"/>
      <c r="G36" s="12">
        <v>4</v>
      </c>
      <c r="H36" s="15">
        <v>120</v>
      </c>
      <c r="I36" s="15">
        <v>45</v>
      </c>
      <c r="J36" s="3">
        <v>0.5</v>
      </c>
      <c r="K36" s="15">
        <f t="shared" si="0"/>
        <v>15</v>
      </c>
      <c r="L36" s="17">
        <v>1</v>
      </c>
      <c r="M36" s="15">
        <f t="shared" si="1"/>
        <v>0.5</v>
      </c>
      <c r="N36" s="15">
        <f t="shared" si="2"/>
        <v>15</v>
      </c>
      <c r="O36" s="3">
        <v>1</v>
      </c>
      <c r="P36" s="15">
        <f t="shared" si="3"/>
        <v>30</v>
      </c>
      <c r="Q36" s="17">
        <v>1</v>
      </c>
      <c r="R36" s="15">
        <f t="shared" si="4"/>
        <v>1</v>
      </c>
      <c r="S36" s="15">
        <f t="shared" si="5"/>
        <v>30</v>
      </c>
      <c r="T36" s="30">
        <v>0</v>
      </c>
      <c r="U36" s="28">
        <v>0</v>
      </c>
      <c r="V36" s="19"/>
    </row>
    <row r="37" spans="1:22" ht="72" x14ac:dyDescent="0.3">
      <c r="A37" s="7"/>
      <c r="B37" s="14" t="s">
        <v>523</v>
      </c>
      <c r="C37" s="65"/>
      <c r="D37" s="65"/>
      <c r="E37" s="65"/>
      <c r="F37" s="65"/>
      <c r="G37" s="12">
        <v>6</v>
      </c>
      <c r="H37" s="15">
        <v>180</v>
      </c>
      <c r="I37" s="15">
        <v>60</v>
      </c>
      <c r="J37" s="3">
        <v>1</v>
      </c>
      <c r="K37" s="15">
        <f t="shared" si="0"/>
        <v>30</v>
      </c>
      <c r="L37" s="17">
        <v>1</v>
      </c>
      <c r="M37" s="15">
        <f t="shared" si="1"/>
        <v>1</v>
      </c>
      <c r="N37" s="15">
        <f t="shared" si="2"/>
        <v>30</v>
      </c>
      <c r="O37" s="3">
        <v>1</v>
      </c>
      <c r="P37" s="15">
        <f t="shared" si="3"/>
        <v>30</v>
      </c>
      <c r="Q37" s="17">
        <v>1</v>
      </c>
      <c r="R37" s="15">
        <f t="shared" si="4"/>
        <v>1</v>
      </c>
      <c r="S37" s="15">
        <f t="shared" si="5"/>
        <v>30</v>
      </c>
      <c r="T37" s="30">
        <v>0</v>
      </c>
      <c r="U37" s="28">
        <v>0</v>
      </c>
      <c r="V37" s="19"/>
    </row>
    <row r="38" spans="1:22" ht="36" x14ac:dyDescent="0.3">
      <c r="A38" s="7"/>
      <c r="B38" s="14" t="s">
        <v>524</v>
      </c>
      <c r="C38" s="65"/>
      <c r="D38" s="65"/>
      <c r="E38" s="65"/>
      <c r="F38" s="65"/>
      <c r="G38" s="12">
        <v>6</v>
      </c>
      <c r="H38" s="15">
        <v>180</v>
      </c>
      <c r="I38" s="15">
        <v>60</v>
      </c>
      <c r="J38" s="3">
        <v>1</v>
      </c>
      <c r="K38" s="15">
        <f t="shared" si="0"/>
        <v>30</v>
      </c>
      <c r="L38" s="17">
        <v>1</v>
      </c>
      <c r="M38" s="15">
        <f t="shared" si="1"/>
        <v>1</v>
      </c>
      <c r="N38" s="15">
        <f t="shared" si="2"/>
        <v>30</v>
      </c>
      <c r="O38" s="3">
        <v>1</v>
      </c>
      <c r="P38" s="15">
        <f t="shared" si="3"/>
        <v>30</v>
      </c>
      <c r="Q38" s="17">
        <v>1</v>
      </c>
      <c r="R38" s="15">
        <f t="shared" si="4"/>
        <v>1</v>
      </c>
      <c r="S38" s="15">
        <f t="shared" si="5"/>
        <v>30</v>
      </c>
      <c r="T38" s="30">
        <v>0</v>
      </c>
      <c r="U38" s="28">
        <v>0</v>
      </c>
      <c r="V38" s="19"/>
    </row>
    <row r="39" spans="1:22" ht="72" x14ac:dyDescent="0.3">
      <c r="A39" s="7"/>
      <c r="B39" s="14" t="s">
        <v>525</v>
      </c>
      <c r="C39" s="66"/>
      <c r="D39" s="65"/>
      <c r="E39" s="65"/>
      <c r="F39" s="65"/>
      <c r="G39" s="12">
        <v>5</v>
      </c>
      <c r="H39" s="15">
        <v>150</v>
      </c>
      <c r="I39" s="15">
        <v>45</v>
      </c>
      <c r="J39" s="3">
        <v>0.5</v>
      </c>
      <c r="K39" s="15">
        <f t="shared" si="0"/>
        <v>15</v>
      </c>
      <c r="L39" s="17">
        <v>1</v>
      </c>
      <c r="M39" s="15">
        <f t="shared" si="1"/>
        <v>0.5</v>
      </c>
      <c r="N39" s="15">
        <f t="shared" si="2"/>
        <v>15</v>
      </c>
      <c r="O39" s="3">
        <v>1</v>
      </c>
      <c r="P39" s="15">
        <f t="shared" si="3"/>
        <v>30</v>
      </c>
      <c r="Q39" s="17">
        <v>1</v>
      </c>
      <c r="R39" s="15">
        <f t="shared" si="4"/>
        <v>1</v>
      </c>
      <c r="S39" s="15">
        <f t="shared" si="5"/>
        <v>30</v>
      </c>
      <c r="T39" s="30">
        <v>0</v>
      </c>
      <c r="U39" s="28">
        <v>0</v>
      </c>
      <c r="V39" s="19"/>
    </row>
    <row r="40" spans="1:22" x14ac:dyDescent="0.3">
      <c r="A40" s="7"/>
      <c r="B40" s="14" t="s">
        <v>528</v>
      </c>
      <c r="C40" s="64" t="s">
        <v>206</v>
      </c>
      <c r="D40" s="64">
        <v>32</v>
      </c>
      <c r="E40" s="64">
        <v>14</v>
      </c>
      <c r="F40" s="64" t="s">
        <v>29</v>
      </c>
      <c r="G40" s="12">
        <v>5</v>
      </c>
      <c r="H40" s="15">
        <v>150</v>
      </c>
      <c r="I40" s="15">
        <v>45</v>
      </c>
      <c r="J40" s="3">
        <v>0.5</v>
      </c>
      <c r="K40" s="15">
        <f t="shared" si="0"/>
        <v>15</v>
      </c>
      <c r="L40" s="17">
        <v>1</v>
      </c>
      <c r="M40" s="15">
        <f t="shared" si="1"/>
        <v>0.5</v>
      </c>
      <c r="N40" s="15">
        <f t="shared" si="2"/>
        <v>15</v>
      </c>
      <c r="O40" s="3">
        <v>1</v>
      </c>
      <c r="P40" s="15">
        <f t="shared" si="3"/>
        <v>30</v>
      </c>
      <c r="Q40" s="17">
        <v>2</v>
      </c>
      <c r="R40" s="15">
        <f t="shared" si="4"/>
        <v>2</v>
      </c>
      <c r="S40" s="15">
        <f t="shared" si="5"/>
        <v>60</v>
      </c>
      <c r="T40" s="4">
        <f t="shared" si="6"/>
        <v>2.5</v>
      </c>
      <c r="U40" s="3">
        <f t="shared" si="7"/>
        <v>75</v>
      </c>
      <c r="V40" s="19"/>
    </row>
    <row r="41" spans="1:22" ht="54" x14ac:dyDescent="0.3">
      <c r="A41" s="7"/>
      <c r="B41" s="14" t="s">
        <v>529</v>
      </c>
      <c r="C41" s="65"/>
      <c r="D41" s="65"/>
      <c r="E41" s="65"/>
      <c r="F41" s="65"/>
      <c r="G41" s="12">
        <v>4</v>
      </c>
      <c r="H41" s="15">
        <v>120</v>
      </c>
      <c r="I41" s="15">
        <v>45</v>
      </c>
      <c r="J41" s="3">
        <v>0.5</v>
      </c>
      <c r="K41" s="15">
        <f t="shared" si="0"/>
        <v>15</v>
      </c>
      <c r="L41" s="17">
        <v>1</v>
      </c>
      <c r="M41" s="15">
        <f t="shared" si="1"/>
        <v>0.5</v>
      </c>
      <c r="N41" s="15">
        <f t="shared" si="2"/>
        <v>15</v>
      </c>
      <c r="O41" s="3">
        <v>1</v>
      </c>
      <c r="P41" s="15">
        <f t="shared" si="3"/>
        <v>30</v>
      </c>
      <c r="Q41" s="17">
        <v>2</v>
      </c>
      <c r="R41" s="15">
        <f t="shared" si="4"/>
        <v>2</v>
      </c>
      <c r="S41" s="15">
        <f t="shared" si="5"/>
        <v>60</v>
      </c>
      <c r="T41" s="4">
        <f t="shared" si="6"/>
        <v>2.5</v>
      </c>
      <c r="U41" s="3">
        <f t="shared" si="7"/>
        <v>75</v>
      </c>
      <c r="V41" s="19"/>
    </row>
    <row r="42" spans="1:22" ht="36" x14ac:dyDescent="0.3">
      <c r="A42" s="7"/>
      <c r="B42" s="37" t="s">
        <v>576</v>
      </c>
      <c r="C42" s="65"/>
      <c r="D42" s="65"/>
      <c r="E42" s="65"/>
      <c r="F42" s="65"/>
      <c r="G42" s="12">
        <v>5</v>
      </c>
      <c r="H42" s="15">
        <v>150</v>
      </c>
      <c r="I42" s="15">
        <v>45</v>
      </c>
      <c r="J42" s="3">
        <v>0.5</v>
      </c>
      <c r="K42" s="15">
        <f t="shared" si="0"/>
        <v>15</v>
      </c>
      <c r="L42" s="38">
        <v>2</v>
      </c>
      <c r="M42" s="15">
        <f t="shared" si="1"/>
        <v>1</v>
      </c>
      <c r="N42" s="15">
        <f t="shared" si="2"/>
        <v>30</v>
      </c>
      <c r="O42" s="3">
        <v>1</v>
      </c>
      <c r="P42" s="15">
        <f t="shared" si="3"/>
        <v>30</v>
      </c>
      <c r="Q42" s="38">
        <v>4</v>
      </c>
      <c r="R42" s="15">
        <f t="shared" si="4"/>
        <v>4</v>
      </c>
      <c r="S42" s="15">
        <f t="shared" si="5"/>
        <v>120</v>
      </c>
      <c r="T42" s="4">
        <f t="shared" si="6"/>
        <v>5</v>
      </c>
      <c r="U42" s="3">
        <f t="shared" si="7"/>
        <v>150</v>
      </c>
      <c r="V42" s="29" t="s">
        <v>555</v>
      </c>
    </row>
    <row r="43" spans="1:22" ht="72" x14ac:dyDescent="0.3">
      <c r="A43" s="7"/>
      <c r="B43" s="14" t="s">
        <v>530</v>
      </c>
      <c r="C43" s="65"/>
      <c r="D43" s="65"/>
      <c r="E43" s="65"/>
      <c r="F43" s="65"/>
      <c r="G43" s="12">
        <v>6</v>
      </c>
      <c r="H43" s="15">
        <v>180</v>
      </c>
      <c r="I43" s="15">
        <v>60</v>
      </c>
      <c r="J43" s="3">
        <v>1</v>
      </c>
      <c r="K43" s="15">
        <f t="shared" si="0"/>
        <v>30</v>
      </c>
      <c r="L43" s="36">
        <v>2</v>
      </c>
      <c r="M43" s="15">
        <f t="shared" si="1"/>
        <v>2</v>
      </c>
      <c r="N43" s="15">
        <f t="shared" si="2"/>
        <v>60</v>
      </c>
      <c r="O43" s="3">
        <v>1</v>
      </c>
      <c r="P43" s="15">
        <f t="shared" si="3"/>
        <v>30</v>
      </c>
      <c r="Q43" s="38">
        <v>4</v>
      </c>
      <c r="R43" s="15">
        <f t="shared" si="4"/>
        <v>4</v>
      </c>
      <c r="S43" s="15">
        <f t="shared" si="5"/>
        <v>120</v>
      </c>
      <c r="T43" s="4">
        <f t="shared" si="6"/>
        <v>6</v>
      </c>
      <c r="U43" s="3">
        <f t="shared" si="7"/>
        <v>180</v>
      </c>
      <c r="V43" s="29" t="s">
        <v>555</v>
      </c>
    </row>
    <row r="44" spans="1:22" ht="54" x14ac:dyDescent="0.3">
      <c r="B44" s="27" t="s">
        <v>531</v>
      </c>
      <c r="C44" s="66"/>
      <c r="D44" s="66"/>
      <c r="E44" s="66"/>
      <c r="F44" s="66"/>
      <c r="G44" s="15">
        <v>6</v>
      </c>
      <c r="H44" s="15">
        <v>180</v>
      </c>
      <c r="I44" s="15">
        <v>60</v>
      </c>
      <c r="J44" s="3">
        <v>1</v>
      </c>
      <c r="K44" s="15">
        <f t="shared" si="0"/>
        <v>30</v>
      </c>
      <c r="L44" s="17">
        <v>1</v>
      </c>
      <c r="M44" s="15">
        <f t="shared" si="1"/>
        <v>1</v>
      </c>
      <c r="N44" s="15">
        <f t="shared" si="2"/>
        <v>30</v>
      </c>
      <c r="O44" s="3">
        <v>1</v>
      </c>
      <c r="P44" s="15">
        <f t="shared" si="3"/>
        <v>30</v>
      </c>
      <c r="Q44" s="17">
        <v>2</v>
      </c>
      <c r="R44" s="15">
        <f t="shared" si="4"/>
        <v>2</v>
      </c>
      <c r="S44" s="15">
        <f t="shared" si="5"/>
        <v>60</v>
      </c>
      <c r="T44" s="4">
        <f t="shared" si="6"/>
        <v>3</v>
      </c>
      <c r="U44" s="3">
        <f t="shared" si="7"/>
        <v>90</v>
      </c>
      <c r="V44" s="19"/>
    </row>
    <row r="45" spans="1:22" ht="25.5" customHeight="1" x14ac:dyDescent="0.3">
      <c r="A45" s="7"/>
      <c r="B45" s="48" t="s">
        <v>574</v>
      </c>
      <c r="C45" s="15" t="s">
        <v>18</v>
      </c>
      <c r="D45" s="15"/>
      <c r="E45" s="15">
        <v>4</v>
      </c>
      <c r="F45" s="15" t="s">
        <v>573</v>
      </c>
      <c r="G45" s="15">
        <v>5</v>
      </c>
      <c r="H45" s="15">
        <v>150</v>
      </c>
      <c r="I45" s="15">
        <v>45</v>
      </c>
      <c r="J45" s="3">
        <v>0.5</v>
      </c>
      <c r="K45" s="15">
        <f t="shared" si="0"/>
        <v>15</v>
      </c>
      <c r="L45" s="17">
        <v>1</v>
      </c>
      <c r="M45" s="15">
        <f t="shared" si="1"/>
        <v>0.5</v>
      </c>
      <c r="N45" s="15">
        <f t="shared" si="2"/>
        <v>15</v>
      </c>
      <c r="O45" s="3">
        <v>1</v>
      </c>
      <c r="P45" s="15">
        <f t="shared" si="3"/>
        <v>30</v>
      </c>
      <c r="Q45" s="17">
        <v>1</v>
      </c>
      <c r="R45" s="15">
        <f t="shared" si="4"/>
        <v>1</v>
      </c>
      <c r="S45" s="15">
        <f t="shared" si="5"/>
        <v>30</v>
      </c>
      <c r="T45" s="4">
        <f t="shared" si="6"/>
        <v>1.5</v>
      </c>
      <c r="U45" s="3">
        <f t="shared" si="7"/>
        <v>45</v>
      </c>
      <c r="V45" s="19"/>
    </row>
    <row r="46" spans="1:22" x14ac:dyDescent="0.35">
      <c r="C46" s="49"/>
      <c r="D46" s="49"/>
      <c r="E46" s="49"/>
      <c r="F46" s="50"/>
    </row>
  </sheetData>
  <autoFilter ref="A4:V44" xr:uid="{00000000-0009-0000-0000-00000A000000}"/>
  <mergeCells count="52">
    <mergeCell ref="L2:L4"/>
    <mergeCell ref="C2:C4"/>
    <mergeCell ref="D2:E3"/>
    <mergeCell ref="F5:F9"/>
    <mergeCell ref="F10:F14"/>
    <mergeCell ref="D10:D14"/>
    <mergeCell ref="E10:E14"/>
    <mergeCell ref="E5:E9"/>
    <mergeCell ref="D5:D9"/>
    <mergeCell ref="C10:C14"/>
    <mergeCell ref="C5:C9"/>
    <mergeCell ref="K2:K4"/>
    <mergeCell ref="B2:B4"/>
    <mergeCell ref="V2:V4"/>
    <mergeCell ref="F2:F4"/>
    <mergeCell ref="G2:G4"/>
    <mergeCell ref="H2:H4"/>
    <mergeCell ref="U2:U4"/>
    <mergeCell ref="O2:O4"/>
    <mergeCell ref="P2:P4"/>
    <mergeCell ref="Q2:Q4"/>
    <mergeCell ref="R2:R4"/>
    <mergeCell ref="S2:S4"/>
    <mergeCell ref="T2:T4"/>
    <mergeCell ref="I2:I4"/>
    <mergeCell ref="M2:M4"/>
    <mergeCell ref="N2:N4"/>
    <mergeCell ref="J2:J4"/>
    <mergeCell ref="F20:F24"/>
    <mergeCell ref="D20:D24"/>
    <mergeCell ref="E20:E24"/>
    <mergeCell ref="C20:C24"/>
    <mergeCell ref="F15:F19"/>
    <mergeCell ref="D15:D19"/>
    <mergeCell ref="E15:E19"/>
    <mergeCell ref="C15:C19"/>
    <mergeCell ref="F30:F34"/>
    <mergeCell ref="D30:D34"/>
    <mergeCell ref="E30:E34"/>
    <mergeCell ref="C30:C34"/>
    <mergeCell ref="F25:F29"/>
    <mergeCell ref="D25:D29"/>
    <mergeCell ref="E25:E29"/>
    <mergeCell ref="C25:C29"/>
    <mergeCell ref="F40:F44"/>
    <mergeCell ref="D40:D44"/>
    <mergeCell ref="E40:E44"/>
    <mergeCell ref="C40:C44"/>
    <mergeCell ref="F35:F39"/>
    <mergeCell ref="D35:D39"/>
    <mergeCell ref="E35:E39"/>
    <mergeCell ref="C35:C39"/>
  </mergeCells>
  <pageMargins left="0.7" right="0.7" top="0.75" bottom="0.75" header="0.3" footer="0.3"/>
  <pageSetup paperSize="9" scale="3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+2 курс 1 сем СО</vt:lpstr>
      <vt:lpstr>+2 курс 2 сем СО</vt:lpstr>
      <vt:lpstr>+2 курс 1 сем ТиПО</vt:lpstr>
      <vt:lpstr>+2 курс 2 сем ТиПО</vt:lpstr>
      <vt:lpstr>+3 курс 1 сем СО</vt:lpstr>
      <vt:lpstr>+3 курс 2 сем СО</vt:lpstr>
      <vt:lpstr>+3 курс 1 сем ТИПО</vt:lpstr>
      <vt:lpstr>+4 курс 1 сем СО</vt:lpstr>
      <vt:lpstr>+1 курс 2 сем зима МАГ--&gt;</vt:lpstr>
      <vt:lpstr>+2 курс 1 сем зима МАГ</vt:lpstr>
      <vt:lpstr>+2 курс 1 сем лето МАГ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Astana</dc:creator>
  <cp:lastModifiedBy>Professional</cp:lastModifiedBy>
  <cp:lastPrinted>2025-09-15T13:42:51Z</cp:lastPrinted>
  <dcterms:created xsi:type="dcterms:W3CDTF">2024-03-15T09:53:55Z</dcterms:created>
  <dcterms:modified xsi:type="dcterms:W3CDTF">2026-07-24T06:41:49Z</dcterms:modified>
</cp:coreProperties>
</file>